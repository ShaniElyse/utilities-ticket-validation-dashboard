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2205751384a06b1/Desktop/Ticket Tracking Project/"/>
    </mc:Choice>
  </mc:AlternateContent>
  <xr:revisionPtr revIDLastSave="10" documentId="8_{D1927B8C-5047-48AF-8BB2-802150407029}" xr6:coauthVersionLast="47" xr6:coauthVersionMax="47" xr10:uidLastSave="{ECF513B0-8ABB-4FFA-B177-06DF63593589}"/>
  <bookViews>
    <workbookView xWindow="-110" yWindow="-110" windowWidth="25820" windowHeight="15500" activeTab="3" xr2:uid="{00000000-000D-0000-FFFF-FFFF00000000}"/>
  </bookViews>
  <sheets>
    <sheet name="Read_Me" sheetId="1" r:id="rId1"/>
    <sheet name="Lists" sheetId="2" r:id="rId2"/>
    <sheet name="Ticket_Input_Form" sheetId="3" r:id="rId3"/>
    <sheet name="Form_Raw_Data" sheetId="4" r:id="rId4"/>
    <sheet name="Clean_Data" sheetId="5" r:id="rId5"/>
    <sheet name="Validation_Checks" sheetId="6" r:id="rId6"/>
    <sheet name="Dashboard" sheetId="7" r:id="rId7"/>
  </sheets>
  <definedNames>
    <definedName name="AreaList">Lists!$G$4:$G$53</definedName>
    <definedName name="ForemanList">Lists!$I$4:$I$53</definedName>
    <definedName name="JobTypeList">Lists!$E$4:$E$53</definedName>
    <definedName name="LinemanList">Lists!$A$4:$A$53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7" l="1"/>
  <c r="G24" i="7"/>
  <c r="A24" i="7"/>
  <c r="G23" i="7"/>
  <c r="A23" i="7"/>
  <c r="G22" i="7"/>
  <c r="D22" i="7"/>
  <c r="A22" i="7"/>
  <c r="G21" i="7"/>
  <c r="D21" i="7"/>
  <c r="A21" i="7"/>
  <c r="G20" i="7"/>
  <c r="D20" i="7"/>
  <c r="A20" i="7"/>
  <c r="G19" i="7"/>
  <c r="D19" i="7"/>
  <c r="A19" i="7"/>
  <c r="B4" i="7"/>
  <c r="K498" i="6"/>
  <c r="H498" i="6"/>
  <c r="J496" i="6"/>
  <c r="A496" i="6"/>
  <c r="E490" i="6"/>
  <c r="K489" i="6"/>
  <c r="I489" i="6"/>
  <c r="A489" i="6"/>
  <c r="G478" i="6"/>
  <c r="A478" i="6"/>
  <c r="H474" i="6"/>
  <c r="G474" i="6"/>
  <c r="F474" i="6"/>
  <c r="E474" i="6"/>
  <c r="D474" i="6"/>
  <c r="C474" i="6"/>
  <c r="J472" i="6"/>
  <c r="A468" i="6"/>
  <c r="J450" i="6"/>
  <c r="H450" i="6"/>
  <c r="K448" i="6"/>
  <c r="J448" i="6"/>
  <c r="A448" i="6"/>
  <c r="J444" i="6"/>
  <c r="K441" i="6"/>
  <c r="I441" i="6"/>
  <c r="G441" i="6"/>
  <c r="C441" i="6"/>
  <c r="I435" i="6"/>
  <c r="C435" i="6"/>
  <c r="A428" i="6"/>
  <c r="K426" i="6"/>
  <c r="J426" i="6"/>
  <c r="E426" i="6"/>
  <c r="F424" i="6"/>
  <c r="B424" i="6"/>
  <c r="H422" i="6"/>
  <c r="F422" i="6"/>
  <c r="D422" i="6"/>
  <c r="J417" i="6"/>
  <c r="H417" i="6"/>
  <c r="C417" i="6"/>
  <c r="D402" i="6"/>
  <c r="C402" i="6"/>
  <c r="K400" i="6"/>
  <c r="I400" i="6"/>
  <c r="H400" i="6"/>
  <c r="E400" i="6"/>
  <c r="B400" i="6"/>
  <c r="J393" i="6"/>
  <c r="I393" i="6"/>
  <c r="C393" i="6"/>
  <c r="C385" i="6"/>
  <c r="B385" i="6"/>
  <c r="J376" i="6"/>
  <c r="I376" i="6"/>
  <c r="A376" i="6"/>
  <c r="F366" i="6"/>
  <c r="A360" i="6"/>
  <c r="G357" i="6"/>
  <c r="B357" i="6"/>
  <c r="A357" i="6"/>
  <c r="A352" i="6"/>
  <c r="J348" i="6"/>
  <c r="J333" i="6"/>
  <c r="I333" i="6"/>
  <c r="D333" i="6"/>
  <c r="C333" i="6"/>
  <c r="E331" i="6"/>
  <c r="A331" i="6"/>
  <c r="J328" i="6"/>
  <c r="I324" i="6"/>
  <c r="A324" i="6"/>
  <c r="I320" i="6"/>
  <c r="H320" i="6"/>
  <c r="C320" i="6"/>
  <c r="A314" i="6"/>
  <c r="A310" i="6"/>
  <c r="I310" i="6" s="1"/>
  <c r="I305" i="6"/>
  <c r="E303" i="6"/>
  <c r="D303" i="6"/>
  <c r="C303" i="6"/>
  <c r="H298" i="6"/>
  <c r="A298" i="6"/>
  <c r="I295" i="6"/>
  <c r="E293" i="6"/>
  <c r="C293" i="6"/>
  <c r="A282" i="6"/>
  <c r="A279" i="6"/>
  <c r="A272" i="6"/>
  <c r="J270" i="6"/>
  <c r="I270" i="6"/>
  <c r="E270" i="6"/>
  <c r="D270" i="6"/>
  <c r="C270" i="6"/>
  <c r="G268" i="6"/>
  <c r="E255" i="6"/>
  <c r="D255" i="6"/>
  <c r="A254" i="6"/>
  <c r="J247" i="6"/>
  <c r="G247" i="6"/>
  <c r="F247" i="6"/>
  <c r="F245" i="6"/>
  <c r="E245" i="6"/>
  <c r="C245" i="6"/>
  <c r="B245" i="6"/>
  <c r="A245" i="6"/>
  <c r="F238" i="6"/>
  <c r="E238" i="6"/>
  <c r="D238" i="6"/>
  <c r="C238" i="6"/>
  <c r="J227" i="6"/>
  <c r="H227" i="6"/>
  <c r="G225" i="6"/>
  <c r="A225" i="6"/>
  <c r="A216" i="6"/>
  <c r="K208" i="6"/>
  <c r="J203" i="6"/>
  <c r="I203" i="6"/>
  <c r="E203" i="6"/>
  <c r="C203" i="6"/>
  <c r="B203" i="6"/>
  <c r="G201" i="6"/>
  <c r="H199" i="6"/>
  <c r="G199" i="6"/>
  <c r="F199" i="6"/>
  <c r="E199" i="6"/>
  <c r="I193" i="6"/>
  <c r="H193" i="6"/>
  <c r="F193" i="6"/>
  <c r="E193" i="6"/>
  <c r="E190" i="6"/>
  <c r="B190" i="6"/>
  <c r="I184" i="6"/>
  <c r="F184" i="6"/>
  <c r="E184" i="6"/>
  <c r="C184" i="6"/>
  <c r="I183" i="6"/>
  <c r="G183" i="6"/>
  <c r="D183" i="6"/>
  <c r="A183" i="6"/>
  <c r="D181" i="6"/>
  <c r="C181" i="6"/>
  <c r="B181" i="6"/>
  <c r="B179" i="6"/>
  <c r="A172" i="6"/>
  <c r="B172" i="6" s="1"/>
  <c r="H169" i="6"/>
  <c r="E169" i="6"/>
  <c r="D169" i="6"/>
  <c r="A169" i="6"/>
  <c r="H166" i="6"/>
  <c r="B166" i="6"/>
  <c r="A165" i="6"/>
  <c r="E165" i="6" s="1"/>
  <c r="A162" i="6"/>
  <c r="A157" i="6"/>
  <c r="D155" i="6"/>
  <c r="K152" i="6"/>
  <c r="A152" i="6"/>
  <c r="C149" i="6"/>
  <c r="A149" i="6"/>
  <c r="J142" i="6"/>
  <c r="I142" i="6"/>
  <c r="H142" i="6"/>
  <c r="G142" i="6"/>
  <c r="F142" i="6"/>
  <c r="E142" i="6"/>
  <c r="D142" i="6"/>
  <c r="G140" i="6"/>
  <c r="C140" i="6"/>
  <c r="B140" i="6"/>
  <c r="I138" i="6"/>
  <c r="H138" i="6"/>
  <c r="B138" i="6"/>
  <c r="A133" i="6"/>
  <c r="K128" i="6"/>
  <c r="H128" i="6"/>
  <c r="K126" i="6"/>
  <c r="J126" i="6"/>
  <c r="I126" i="6"/>
  <c r="G126" i="6"/>
  <c r="F126" i="6"/>
  <c r="K123" i="6"/>
  <c r="J123" i="6"/>
  <c r="E123" i="6"/>
  <c r="D123" i="6"/>
  <c r="C123" i="6"/>
  <c r="B123" i="6"/>
  <c r="H119" i="6"/>
  <c r="A119" i="6"/>
  <c r="I117" i="6"/>
  <c r="E117" i="6"/>
  <c r="D117" i="6"/>
  <c r="A117" i="6"/>
  <c r="A113" i="6"/>
  <c r="K104" i="6"/>
  <c r="J104" i="6"/>
  <c r="H104" i="6"/>
  <c r="A102" i="6"/>
  <c r="A101" i="6"/>
  <c r="B101" i="6" s="1"/>
  <c r="D100" i="6"/>
  <c r="J99" i="6"/>
  <c r="H99" i="6"/>
  <c r="I97" i="6"/>
  <c r="A97" i="6"/>
  <c r="K95" i="6"/>
  <c r="J95" i="6"/>
  <c r="H95" i="6"/>
  <c r="G95" i="6"/>
  <c r="B95" i="6"/>
  <c r="K89" i="6"/>
  <c r="A86" i="6"/>
  <c r="J86" i="6" s="1"/>
  <c r="F82" i="6"/>
  <c r="E82" i="6"/>
  <c r="A82" i="6"/>
  <c r="J80" i="6"/>
  <c r="H80" i="6"/>
  <c r="G80" i="6"/>
  <c r="K78" i="6"/>
  <c r="H78" i="6"/>
  <c r="F78" i="6"/>
  <c r="E78" i="6"/>
  <c r="C78" i="6"/>
  <c r="A77" i="6"/>
  <c r="I77" i="6" s="1"/>
  <c r="A76" i="6"/>
  <c r="C76" i="6" s="1"/>
  <c r="K75" i="6"/>
  <c r="J75" i="6"/>
  <c r="E75" i="6"/>
  <c r="C75" i="6"/>
  <c r="B75" i="6"/>
  <c r="K69" i="6"/>
  <c r="I69" i="6"/>
  <c r="F69" i="6"/>
  <c r="E69" i="6"/>
  <c r="C69" i="6"/>
  <c r="B69" i="6"/>
  <c r="A67" i="6"/>
  <c r="A56" i="6"/>
  <c r="K54" i="6"/>
  <c r="J54" i="6"/>
  <c r="A52" i="6"/>
  <c r="K51" i="6"/>
  <c r="B51" i="6"/>
  <c r="A51" i="6"/>
  <c r="A50" i="6"/>
  <c r="J47" i="6"/>
  <c r="G47" i="6"/>
  <c r="F47" i="6"/>
  <c r="A47" i="6"/>
  <c r="A45" i="6"/>
  <c r="B43" i="6"/>
  <c r="J41" i="6"/>
  <c r="E41" i="6"/>
  <c r="D41" i="6"/>
  <c r="K39" i="6"/>
  <c r="I39" i="6"/>
  <c r="A36" i="6"/>
  <c r="J32" i="6"/>
  <c r="A32" i="6"/>
  <c r="K30" i="6"/>
  <c r="J30" i="6"/>
  <c r="H30" i="6"/>
  <c r="K28" i="6"/>
  <c r="K27" i="6"/>
  <c r="J27" i="6"/>
  <c r="I27" i="6"/>
  <c r="H27" i="6"/>
  <c r="G27" i="6"/>
  <c r="F27" i="6"/>
  <c r="E27" i="6"/>
  <c r="D27" i="6"/>
  <c r="C27" i="6"/>
  <c r="K23" i="6"/>
  <c r="J23" i="6"/>
  <c r="H23" i="6"/>
  <c r="G23" i="6"/>
  <c r="D21" i="6"/>
  <c r="A11" i="6"/>
  <c r="A10" i="6"/>
  <c r="A8" i="6"/>
  <c r="A5" i="6"/>
  <c r="K501" i="5"/>
  <c r="J501" i="5"/>
  <c r="I501" i="5"/>
  <c r="H501" i="5"/>
  <c r="G501" i="5"/>
  <c r="F501" i="5"/>
  <c r="E501" i="5"/>
  <c r="D501" i="5"/>
  <c r="A501" i="5"/>
  <c r="A501" i="6" s="1"/>
  <c r="K500" i="5"/>
  <c r="J500" i="5"/>
  <c r="I500" i="5"/>
  <c r="H500" i="5"/>
  <c r="G500" i="5"/>
  <c r="F500" i="5"/>
  <c r="D500" i="5"/>
  <c r="B500" i="5"/>
  <c r="A500" i="5"/>
  <c r="A499" i="5"/>
  <c r="K498" i="5"/>
  <c r="J498" i="5"/>
  <c r="I498" i="5"/>
  <c r="H498" i="5"/>
  <c r="G498" i="5"/>
  <c r="F498" i="5"/>
  <c r="E498" i="5"/>
  <c r="D498" i="5"/>
  <c r="B498" i="5"/>
  <c r="A498" i="5"/>
  <c r="A498" i="6" s="1"/>
  <c r="A497" i="5"/>
  <c r="K496" i="5"/>
  <c r="J496" i="5"/>
  <c r="I496" i="5"/>
  <c r="H496" i="5"/>
  <c r="G496" i="5"/>
  <c r="F496" i="5"/>
  <c r="E496" i="5"/>
  <c r="D496" i="5"/>
  <c r="C496" i="5"/>
  <c r="B496" i="5"/>
  <c r="A496" i="5"/>
  <c r="E495" i="5"/>
  <c r="D495" i="5"/>
  <c r="B495" i="5"/>
  <c r="A495" i="5"/>
  <c r="A494" i="5"/>
  <c r="K493" i="5"/>
  <c r="I493" i="5"/>
  <c r="G493" i="5"/>
  <c r="F493" i="5"/>
  <c r="D493" i="5"/>
  <c r="C493" i="5"/>
  <c r="B493" i="5"/>
  <c r="A493" i="5"/>
  <c r="D492" i="5"/>
  <c r="C492" i="5"/>
  <c r="B492" i="5"/>
  <c r="A492" i="5"/>
  <c r="A491" i="5"/>
  <c r="K490" i="5"/>
  <c r="J490" i="5"/>
  <c r="I490" i="5"/>
  <c r="H490" i="5"/>
  <c r="G490" i="5"/>
  <c r="F490" i="5"/>
  <c r="E490" i="5"/>
  <c r="C490" i="5"/>
  <c r="B490" i="5"/>
  <c r="A490" i="5"/>
  <c r="A490" i="6" s="1"/>
  <c r="K489" i="5"/>
  <c r="J489" i="5"/>
  <c r="I489" i="5"/>
  <c r="H489" i="5"/>
  <c r="G489" i="5"/>
  <c r="F489" i="5"/>
  <c r="E489" i="5"/>
  <c r="D489" i="5"/>
  <c r="C489" i="5"/>
  <c r="B489" i="5"/>
  <c r="A489" i="5"/>
  <c r="J488" i="5"/>
  <c r="I488" i="5"/>
  <c r="H488" i="5"/>
  <c r="F488" i="5"/>
  <c r="E488" i="5"/>
  <c r="D488" i="5"/>
  <c r="C488" i="5"/>
  <c r="A488" i="5"/>
  <c r="E487" i="5"/>
  <c r="A487" i="5"/>
  <c r="K486" i="5"/>
  <c r="I486" i="5"/>
  <c r="H486" i="5"/>
  <c r="G486" i="5"/>
  <c r="F486" i="5"/>
  <c r="E486" i="5"/>
  <c r="D486" i="5"/>
  <c r="C486" i="5"/>
  <c r="A486" i="5"/>
  <c r="I485" i="5"/>
  <c r="G485" i="5"/>
  <c r="F485" i="5"/>
  <c r="A485" i="5"/>
  <c r="E484" i="5"/>
  <c r="D484" i="5"/>
  <c r="C484" i="5"/>
  <c r="A484" i="5"/>
  <c r="K483" i="5"/>
  <c r="J483" i="5"/>
  <c r="I483" i="5"/>
  <c r="H483" i="5"/>
  <c r="G483" i="5"/>
  <c r="F483" i="5"/>
  <c r="E483" i="5"/>
  <c r="D483" i="5"/>
  <c r="B483" i="5"/>
  <c r="A483" i="5"/>
  <c r="G482" i="5"/>
  <c r="E482" i="5"/>
  <c r="D482" i="5"/>
  <c r="C482" i="5"/>
  <c r="B482" i="5"/>
  <c r="A482" i="5"/>
  <c r="H481" i="5"/>
  <c r="F481" i="5"/>
  <c r="E481" i="5"/>
  <c r="D481" i="5"/>
  <c r="C481" i="5"/>
  <c r="B481" i="5"/>
  <c r="A481" i="5"/>
  <c r="K480" i="5"/>
  <c r="E480" i="5"/>
  <c r="A480" i="5"/>
  <c r="K479" i="5"/>
  <c r="J479" i="5"/>
  <c r="I479" i="5"/>
  <c r="H479" i="5"/>
  <c r="G479" i="5"/>
  <c r="F479" i="5"/>
  <c r="E479" i="5"/>
  <c r="C479" i="5"/>
  <c r="B479" i="5"/>
  <c r="A479" i="5"/>
  <c r="A479" i="6" s="1"/>
  <c r="K478" i="5"/>
  <c r="J478" i="5"/>
  <c r="I478" i="5"/>
  <c r="H478" i="5"/>
  <c r="F478" i="5"/>
  <c r="D478" i="5"/>
  <c r="C478" i="5"/>
  <c r="A478" i="5"/>
  <c r="A477" i="5"/>
  <c r="C477" i="5" s="1"/>
  <c r="A476" i="5"/>
  <c r="A475" i="5"/>
  <c r="A475" i="6" s="1"/>
  <c r="K474" i="5"/>
  <c r="J474" i="5"/>
  <c r="I474" i="5"/>
  <c r="H474" i="5"/>
  <c r="G474" i="5"/>
  <c r="F474" i="5"/>
  <c r="E474" i="5"/>
  <c r="D474" i="5"/>
  <c r="B474" i="5"/>
  <c r="A474" i="5"/>
  <c r="A474" i="6" s="1"/>
  <c r="K473" i="5"/>
  <c r="E473" i="5"/>
  <c r="D473" i="5"/>
  <c r="B473" i="5"/>
  <c r="A473" i="5"/>
  <c r="K472" i="5"/>
  <c r="J472" i="5"/>
  <c r="I472" i="5"/>
  <c r="H472" i="5"/>
  <c r="G472" i="5"/>
  <c r="F472" i="5"/>
  <c r="E472" i="5"/>
  <c r="D472" i="5"/>
  <c r="C472" i="5"/>
  <c r="B472" i="5"/>
  <c r="A472" i="5"/>
  <c r="A472" i="6" s="1"/>
  <c r="K471" i="5"/>
  <c r="I471" i="5"/>
  <c r="H471" i="5"/>
  <c r="F471" i="5"/>
  <c r="E471" i="5"/>
  <c r="C471" i="5"/>
  <c r="B471" i="5"/>
  <c r="A471" i="5"/>
  <c r="K470" i="5"/>
  <c r="I470" i="5"/>
  <c r="H470" i="5"/>
  <c r="E470" i="5"/>
  <c r="B470" i="5"/>
  <c r="A470" i="5"/>
  <c r="K469" i="5"/>
  <c r="I469" i="5"/>
  <c r="D469" i="5"/>
  <c r="C469" i="5"/>
  <c r="B469" i="5"/>
  <c r="A469" i="5"/>
  <c r="K468" i="5"/>
  <c r="J468" i="5"/>
  <c r="I468" i="5"/>
  <c r="H468" i="5"/>
  <c r="G468" i="5"/>
  <c r="F468" i="5"/>
  <c r="E468" i="5"/>
  <c r="D468" i="5"/>
  <c r="C468" i="5"/>
  <c r="B468" i="5"/>
  <c r="A468" i="5"/>
  <c r="A467" i="5"/>
  <c r="K466" i="5"/>
  <c r="J466" i="5"/>
  <c r="I466" i="5"/>
  <c r="H466" i="5"/>
  <c r="G466" i="5"/>
  <c r="F466" i="5"/>
  <c r="E466" i="5"/>
  <c r="D466" i="5"/>
  <c r="C466" i="5"/>
  <c r="A466" i="5"/>
  <c r="A466" i="6" s="1"/>
  <c r="K465" i="5"/>
  <c r="J465" i="5"/>
  <c r="I465" i="5"/>
  <c r="H465" i="5"/>
  <c r="G465" i="5"/>
  <c r="F465" i="5"/>
  <c r="E465" i="5"/>
  <c r="D465" i="5"/>
  <c r="C465" i="5"/>
  <c r="B465" i="5"/>
  <c r="A465" i="5"/>
  <c r="A465" i="6" s="1"/>
  <c r="I464" i="5"/>
  <c r="F464" i="5"/>
  <c r="D464" i="5"/>
  <c r="A464" i="5"/>
  <c r="A463" i="5"/>
  <c r="A462" i="5"/>
  <c r="K461" i="5"/>
  <c r="J461" i="5"/>
  <c r="I461" i="5"/>
  <c r="H461" i="5"/>
  <c r="G461" i="5"/>
  <c r="F461" i="5"/>
  <c r="E461" i="5"/>
  <c r="C461" i="5"/>
  <c r="A461" i="5"/>
  <c r="A460" i="5"/>
  <c r="I459" i="5"/>
  <c r="H459" i="5"/>
  <c r="G459" i="5"/>
  <c r="A459" i="5"/>
  <c r="G458" i="5"/>
  <c r="E458" i="5"/>
  <c r="B458" i="5"/>
  <c r="A458" i="5"/>
  <c r="G457" i="5"/>
  <c r="F457" i="5"/>
  <c r="E457" i="5"/>
  <c r="D457" i="5"/>
  <c r="C457" i="5"/>
  <c r="B457" i="5"/>
  <c r="A457" i="5"/>
  <c r="J456" i="5"/>
  <c r="F456" i="5"/>
  <c r="E456" i="5"/>
  <c r="C456" i="5"/>
  <c r="A456" i="5"/>
  <c r="K455" i="5"/>
  <c r="H455" i="5"/>
  <c r="G455" i="5"/>
  <c r="F455" i="5"/>
  <c r="E455" i="5"/>
  <c r="D455" i="5"/>
  <c r="A455" i="5"/>
  <c r="A454" i="5"/>
  <c r="C454" i="5" s="1"/>
  <c r="A453" i="5"/>
  <c r="K452" i="5"/>
  <c r="J452" i="5"/>
  <c r="I452" i="5"/>
  <c r="H452" i="5"/>
  <c r="G452" i="5"/>
  <c r="D452" i="5"/>
  <c r="B452" i="5"/>
  <c r="A452" i="5"/>
  <c r="J451" i="5"/>
  <c r="I451" i="5"/>
  <c r="F451" i="5"/>
  <c r="E451" i="5"/>
  <c r="D451" i="5"/>
  <c r="A451" i="5"/>
  <c r="K450" i="5"/>
  <c r="J450" i="5"/>
  <c r="I450" i="5"/>
  <c r="H450" i="5"/>
  <c r="G450" i="5"/>
  <c r="F450" i="5"/>
  <c r="E450" i="5"/>
  <c r="D450" i="5"/>
  <c r="B450" i="5"/>
  <c r="A450" i="5"/>
  <c r="A450" i="6" s="1"/>
  <c r="A449" i="5"/>
  <c r="K448" i="5"/>
  <c r="J448" i="5"/>
  <c r="I448" i="5"/>
  <c r="H448" i="5"/>
  <c r="G448" i="5"/>
  <c r="F448" i="5"/>
  <c r="E448" i="5"/>
  <c r="D448" i="5"/>
  <c r="C448" i="5"/>
  <c r="B448" i="5"/>
  <c r="A448" i="5"/>
  <c r="K447" i="5"/>
  <c r="I447" i="5"/>
  <c r="H447" i="5"/>
  <c r="F447" i="5"/>
  <c r="A447" i="5"/>
  <c r="E446" i="5"/>
  <c r="A446" i="5"/>
  <c r="C445" i="5"/>
  <c r="A445" i="5"/>
  <c r="K444" i="5"/>
  <c r="J444" i="5"/>
  <c r="I444" i="5"/>
  <c r="H444" i="5"/>
  <c r="G444" i="5"/>
  <c r="F444" i="5"/>
  <c r="E444" i="5"/>
  <c r="D444" i="5"/>
  <c r="C444" i="5"/>
  <c r="B444" i="5"/>
  <c r="A444" i="5"/>
  <c r="A444" i="6" s="1"/>
  <c r="E443" i="5"/>
  <c r="B443" i="5"/>
  <c r="A443" i="5"/>
  <c r="K442" i="5"/>
  <c r="J442" i="5"/>
  <c r="I442" i="5"/>
  <c r="H442" i="5"/>
  <c r="G442" i="5"/>
  <c r="F442" i="5"/>
  <c r="E442" i="5"/>
  <c r="D442" i="5"/>
  <c r="C442" i="5"/>
  <c r="B442" i="5"/>
  <c r="A442" i="5"/>
  <c r="A442" i="6" s="1"/>
  <c r="K441" i="5"/>
  <c r="J441" i="5"/>
  <c r="I441" i="5"/>
  <c r="H441" i="5"/>
  <c r="G441" i="5"/>
  <c r="E441" i="5"/>
  <c r="D441" i="5"/>
  <c r="C441" i="5"/>
  <c r="B441" i="5"/>
  <c r="A441" i="5"/>
  <c r="A441" i="6" s="1"/>
  <c r="A440" i="5"/>
  <c r="A439" i="5"/>
  <c r="K438" i="5"/>
  <c r="G438" i="5"/>
  <c r="F438" i="5"/>
  <c r="E438" i="5"/>
  <c r="D438" i="5"/>
  <c r="C438" i="5"/>
  <c r="A438" i="5"/>
  <c r="K437" i="5"/>
  <c r="I437" i="5"/>
  <c r="H437" i="5"/>
  <c r="G437" i="5"/>
  <c r="E437" i="5"/>
  <c r="D437" i="5"/>
  <c r="A437" i="5"/>
  <c r="B436" i="5"/>
  <c r="A436" i="5"/>
  <c r="K435" i="5"/>
  <c r="J435" i="5"/>
  <c r="I435" i="5"/>
  <c r="H435" i="5"/>
  <c r="G435" i="5"/>
  <c r="F435" i="5"/>
  <c r="E435" i="5"/>
  <c r="D435" i="5"/>
  <c r="C435" i="5"/>
  <c r="B435" i="5"/>
  <c r="A435" i="5"/>
  <c r="A435" i="6" s="1"/>
  <c r="H434" i="5"/>
  <c r="E434" i="5"/>
  <c r="D434" i="5"/>
  <c r="C434" i="5"/>
  <c r="A434" i="5"/>
  <c r="E433" i="5"/>
  <c r="D433" i="5"/>
  <c r="C433" i="5"/>
  <c r="B433" i="5"/>
  <c r="A433" i="5"/>
  <c r="F432" i="5"/>
  <c r="E432" i="5"/>
  <c r="C432" i="5"/>
  <c r="A432" i="5"/>
  <c r="K431" i="5"/>
  <c r="J431" i="5"/>
  <c r="I431" i="5"/>
  <c r="G431" i="5"/>
  <c r="F431" i="5"/>
  <c r="C431" i="5"/>
  <c r="B431" i="5"/>
  <c r="A431" i="5"/>
  <c r="H430" i="5"/>
  <c r="A430" i="5"/>
  <c r="K429" i="5"/>
  <c r="F429" i="5"/>
  <c r="D429" i="5"/>
  <c r="A429" i="5"/>
  <c r="I428" i="5"/>
  <c r="H428" i="5"/>
  <c r="G428" i="5"/>
  <c r="F428" i="5"/>
  <c r="D428" i="5"/>
  <c r="A428" i="5"/>
  <c r="E427" i="5"/>
  <c r="D427" i="5"/>
  <c r="B427" i="5"/>
  <c r="A427" i="5"/>
  <c r="K426" i="5"/>
  <c r="J426" i="5"/>
  <c r="I426" i="5"/>
  <c r="H426" i="5"/>
  <c r="G426" i="5"/>
  <c r="F426" i="5"/>
  <c r="E426" i="5"/>
  <c r="D426" i="5"/>
  <c r="B426" i="5"/>
  <c r="A426" i="5"/>
  <c r="A426" i="6" s="1"/>
  <c r="K425" i="5"/>
  <c r="J425" i="5"/>
  <c r="D425" i="5"/>
  <c r="C425" i="5"/>
  <c r="B425" i="5"/>
  <c r="A425" i="5"/>
  <c r="K424" i="5"/>
  <c r="J424" i="5"/>
  <c r="I424" i="5"/>
  <c r="H424" i="5"/>
  <c r="G424" i="5"/>
  <c r="F424" i="5"/>
  <c r="E424" i="5"/>
  <c r="D424" i="5"/>
  <c r="C424" i="5"/>
  <c r="B424" i="5"/>
  <c r="A424" i="5"/>
  <c r="A424" i="6" s="1"/>
  <c r="K423" i="5"/>
  <c r="I423" i="5"/>
  <c r="H423" i="5"/>
  <c r="F423" i="5"/>
  <c r="E423" i="5"/>
  <c r="C423" i="5"/>
  <c r="B423" i="5"/>
  <c r="A423" i="5"/>
  <c r="K422" i="5"/>
  <c r="J422" i="5"/>
  <c r="I422" i="5"/>
  <c r="H422" i="5"/>
  <c r="G422" i="5"/>
  <c r="F422" i="5"/>
  <c r="E422" i="5"/>
  <c r="D422" i="5"/>
  <c r="C422" i="5"/>
  <c r="B422" i="5"/>
  <c r="A422" i="5"/>
  <c r="A422" i="6" s="1"/>
  <c r="K421" i="5"/>
  <c r="I421" i="5"/>
  <c r="D421" i="5"/>
  <c r="C421" i="5"/>
  <c r="B421" i="5"/>
  <c r="A421" i="5"/>
  <c r="D420" i="5"/>
  <c r="B420" i="5"/>
  <c r="A420" i="5"/>
  <c r="K419" i="5"/>
  <c r="J419" i="5"/>
  <c r="I419" i="5"/>
  <c r="G419" i="5"/>
  <c r="D419" i="5"/>
  <c r="B419" i="5"/>
  <c r="A419" i="5"/>
  <c r="J418" i="5"/>
  <c r="I418" i="5"/>
  <c r="H418" i="5"/>
  <c r="G418" i="5"/>
  <c r="F418" i="5"/>
  <c r="E418" i="5"/>
  <c r="D418" i="5"/>
  <c r="C418" i="5"/>
  <c r="B418" i="5"/>
  <c r="A418" i="5"/>
  <c r="K417" i="5"/>
  <c r="J417" i="5"/>
  <c r="I417" i="5"/>
  <c r="H417" i="5"/>
  <c r="G417" i="5"/>
  <c r="E417" i="5"/>
  <c r="D417" i="5"/>
  <c r="C417" i="5"/>
  <c r="B417" i="5"/>
  <c r="A417" i="5"/>
  <c r="A417" i="6" s="1"/>
  <c r="E416" i="5"/>
  <c r="D416" i="5"/>
  <c r="C416" i="5"/>
  <c r="A416" i="5"/>
  <c r="K415" i="5"/>
  <c r="J415" i="5"/>
  <c r="I415" i="5"/>
  <c r="A415" i="5"/>
  <c r="K414" i="5"/>
  <c r="I414" i="5"/>
  <c r="H414" i="5"/>
  <c r="F414" i="5"/>
  <c r="E414" i="5"/>
  <c r="A414" i="5"/>
  <c r="A413" i="5"/>
  <c r="A412" i="5"/>
  <c r="K411" i="5"/>
  <c r="A411" i="5"/>
  <c r="B411" i="5" s="1"/>
  <c r="J410" i="5"/>
  <c r="H410" i="5"/>
  <c r="G410" i="5"/>
  <c r="E410" i="5"/>
  <c r="B410" i="5"/>
  <c r="A410" i="5"/>
  <c r="K409" i="5"/>
  <c r="C409" i="5"/>
  <c r="B409" i="5"/>
  <c r="A409" i="5"/>
  <c r="J408" i="5"/>
  <c r="A408" i="5"/>
  <c r="K407" i="5"/>
  <c r="J407" i="5"/>
  <c r="I407" i="5"/>
  <c r="H407" i="5"/>
  <c r="G407" i="5"/>
  <c r="F407" i="5"/>
  <c r="E407" i="5"/>
  <c r="D407" i="5"/>
  <c r="B407" i="5"/>
  <c r="A407" i="5"/>
  <c r="D406" i="5"/>
  <c r="A406" i="5"/>
  <c r="A405" i="5"/>
  <c r="B405" i="5" s="1"/>
  <c r="K404" i="5"/>
  <c r="J404" i="5"/>
  <c r="H404" i="5"/>
  <c r="G404" i="5"/>
  <c r="B404" i="5"/>
  <c r="A404" i="5"/>
  <c r="F403" i="5"/>
  <c r="E403" i="5"/>
  <c r="B403" i="5"/>
  <c r="A403" i="5"/>
  <c r="K402" i="5"/>
  <c r="J402" i="5"/>
  <c r="I402" i="5"/>
  <c r="H402" i="5"/>
  <c r="G402" i="5"/>
  <c r="F402" i="5"/>
  <c r="E402" i="5"/>
  <c r="D402" i="5"/>
  <c r="B402" i="5"/>
  <c r="A402" i="5"/>
  <c r="A402" i="6" s="1"/>
  <c r="H401" i="5"/>
  <c r="G401" i="5"/>
  <c r="F401" i="5"/>
  <c r="E401" i="5"/>
  <c r="C401" i="5"/>
  <c r="B401" i="5"/>
  <c r="A401" i="5"/>
  <c r="K400" i="5"/>
  <c r="J400" i="5"/>
  <c r="I400" i="5"/>
  <c r="H400" i="5"/>
  <c r="G400" i="5"/>
  <c r="F400" i="5"/>
  <c r="E400" i="5"/>
  <c r="D400" i="5"/>
  <c r="C400" i="5"/>
  <c r="B400" i="5"/>
  <c r="A400" i="5"/>
  <c r="A400" i="6" s="1"/>
  <c r="D400" i="6" s="1"/>
  <c r="A399" i="5"/>
  <c r="B399" i="5" s="1"/>
  <c r="A398" i="5"/>
  <c r="K397" i="5"/>
  <c r="I397" i="5"/>
  <c r="G397" i="5"/>
  <c r="F397" i="5"/>
  <c r="C397" i="5"/>
  <c r="B397" i="5"/>
  <c r="A397" i="5"/>
  <c r="J396" i="5"/>
  <c r="I396" i="5"/>
  <c r="H396" i="5"/>
  <c r="G396" i="5"/>
  <c r="F396" i="5"/>
  <c r="E396" i="5"/>
  <c r="D396" i="5"/>
  <c r="C396" i="5"/>
  <c r="B396" i="5"/>
  <c r="A396" i="5"/>
  <c r="A395" i="5"/>
  <c r="B395" i="5" s="1"/>
  <c r="A394" i="5"/>
  <c r="I394" i="5" s="1"/>
  <c r="K393" i="5"/>
  <c r="J393" i="5"/>
  <c r="I393" i="5"/>
  <c r="H393" i="5"/>
  <c r="G393" i="5"/>
  <c r="E393" i="5"/>
  <c r="D393" i="5"/>
  <c r="C393" i="5"/>
  <c r="B393" i="5"/>
  <c r="A393" i="5"/>
  <c r="A393" i="6" s="1"/>
  <c r="J392" i="5"/>
  <c r="A392" i="5"/>
  <c r="J391" i="5"/>
  <c r="A391" i="5"/>
  <c r="A390" i="5"/>
  <c r="K389" i="5"/>
  <c r="H389" i="5"/>
  <c r="G389" i="5"/>
  <c r="F389" i="5"/>
  <c r="E389" i="5"/>
  <c r="D389" i="5"/>
  <c r="C389" i="5"/>
  <c r="A389" i="5"/>
  <c r="A388" i="5"/>
  <c r="J387" i="5"/>
  <c r="A387" i="5"/>
  <c r="F386" i="5"/>
  <c r="E386" i="5"/>
  <c r="D386" i="5"/>
  <c r="A386" i="5"/>
  <c r="K385" i="5"/>
  <c r="J385" i="5"/>
  <c r="I385" i="5"/>
  <c r="H385" i="5"/>
  <c r="G385" i="5"/>
  <c r="F385" i="5"/>
  <c r="E385" i="5"/>
  <c r="C385" i="5"/>
  <c r="B385" i="5"/>
  <c r="A385" i="5"/>
  <c r="A385" i="6" s="1"/>
  <c r="F384" i="5"/>
  <c r="D384" i="5"/>
  <c r="C384" i="5"/>
  <c r="B384" i="5"/>
  <c r="A384" i="5"/>
  <c r="K383" i="5"/>
  <c r="J383" i="5"/>
  <c r="I383" i="5"/>
  <c r="H383" i="5"/>
  <c r="G383" i="5"/>
  <c r="F383" i="5"/>
  <c r="E383" i="5"/>
  <c r="D383" i="5"/>
  <c r="C383" i="5"/>
  <c r="B383" i="5"/>
  <c r="A383" i="5"/>
  <c r="A383" i="6" s="1"/>
  <c r="K382" i="5"/>
  <c r="J382" i="5"/>
  <c r="F382" i="5"/>
  <c r="A382" i="5"/>
  <c r="A381" i="5"/>
  <c r="D381" i="5" s="1"/>
  <c r="A380" i="5"/>
  <c r="B380" i="5" s="1"/>
  <c r="G379" i="5"/>
  <c r="F379" i="5"/>
  <c r="E379" i="5"/>
  <c r="D379" i="5"/>
  <c r="C379" i="5"/>
  <c r="B379" i="5"/>
  <c r="A379" i="5"/>
  <c r="J378" i="5"/>
  <c r="H378" i="5"/>
  <c r="F378" i="5"/>
  <c r="E378" i="5"/>
  <c r="A378" i="5"/>
  <c r="A377" i="5"/>
  <c r="C377" i="5" s="1"/>
  <c r="K376" i="5"/>
  <c r="J376" i="5"/>
  <c r="I376" i="5"/>
  <c r="H376" i="5"/>
  <c r="G376" i="5"/>
  <c r="F376" i="5"/>
  <c r="E376" i="5"/>
  <c r="D376" i="5"/>
  <c r="C376" i="5"/>
  <c r="B376" i="5"/>
  <c r="A376" i="5"/>
  <c r="K375" i="5"/>
  <c r="J375" i="5"/>
  <c r="I375" i="5"/>
  <c r="G375" i="5"/>
  <c r="A375" i="5"/>
  <c r="A374" i="5"/>
  <c r="G374" i="5" s="1"/>
  <c r="K373" i="5"/>
  <c r="I373" i="5"/>
  <c r="H373" i="5"/>
  <c r="G373" i="5"/>
  <c r="F373" i="5"/>
  <c r="E373" i="5"/>
  <c r="D373" i="5"/>
  <c r="C373" i="5"/>
  <c r="B373" i="5"/>
  <c r="A373" i="5"/>
  <c r="K372" i="5"/>
  <c r="J372" i="5"/>
  <c r="I372" i="5"/>
  <c r="H372" i="5"/>
  <c r="G372" i="5"/>
  <c r="F372" i="5"/>
  <c r="E372" i="5"/>
  <c r="D372" i="5"/>
  <c r="C372" i="5"/>
  <c r="B372" i="5"/>
  <c r="A372" i="5"/>
  <c r="A372" i="6" s="1"/>
  <c r="K371" i="5"/>
  <c r="J371" i="5"/>
  <c r="I371" i="5"/>
  <c r="G371" i="5"/>
  <c r="F371" i="5"/>
  <c r="E371" i="5"/>
  <c r="D371" i="5"/>
  <c r="B371" i="5"/>
  <c r="A371" i="5"/>
  <c r="K370" i="5"/>
  <c r="J370" i="5"/>
  <c r="E370" i="5"/>
  <c r="C370" i="5"/>
  <c r="A370" i="5"/>
  <c r="A369" i="5"/>
  <c r="J368" i="5"/>
  <c r="A368" i="5"/>
  <c r="J367" i="5"/>
  <c r="I367" i="5"/>
  <c r="G367" i="5"/>
  <c r="E367" i="5"/>
  <c r="C367" i="5"/>
  <c r="A367" i="5"/>
  <c r="K366" i="5"/>
  <c r="J366" i="5"/>
  <c r="I366" i="5"/>
  <c r="H366" i="5"/>
  <c r="G366" i="5"/>
  <c r="F366" i="5"/>
  <c r="E366" i="5"/>
  <c r="D366" i="5"/>
  <c r="C366" i="5"/>
  <c r="B366" i="5"/>
  <c r="A366" i="5"/>
  <c r="A366" i="6" s="1"/>
  <c r="H366" i="6" s="1"/>
  <c r="D365" i="5"/>
  <c r="A365" i="5"/>
  <c r="K364" i="5"/>
  <c r="J364" i="5"/>
  <c r="H364" i="5"/>
  <c r="G364" i="5"/>
  <c r="F364" i="5"/>
  <c r="E364" i="5"/>
  <c r="D364" i="5"/>
  <c r="C364" i="5"/>
  <c r="B364" i="5"/>
  <c r="A364" i="5"/>
  <c r="K363" i="5"/>
  <c r="J363" i="5"/>
  <c r="I363" i="5"/>
  <c r="C363" i="5"/>
  <c r="A363" i="5"/>
  <c r="J362" i="5"/>
  <c r="F362" i="5"/>
  <c r="D362" i="5"/>
  <c r="C362" i="5"/>
  <c r="B362" i="5"/>
  <c r="A362" i="5"/>
  <c r="K361" i="5"/>
  <c r="J361" i="5"/>
  <c r="I361" i="5"/>
  <c r="H361" i="5"/>
  <c r="G361" i="5"/>
  <c r="F361" i="5"/>
  <c r="E361" i="5"/>
  <c r="A361" i="5"/>
  <c r="J360" i="5"/>
  <c r="H360" i="5"/>
  <c r="G360" i="5"/>
  <c r="F360" i="5"/>
  <c r="E360" i="5"/>
  <c r="D360" i="5"/>
  <c r="C360" i="5"/>
  <c r="B360" i="5"/>
  <c r="A360" i="5"/>
  <c r="F359" i="5"/>
  <c r="C359" i="5"/>
  <c r="B359" i="5"/>
  <c r="A359" i="5"/>
  <c r="C358" i="5"/>
  <c r="B358" i="5"/>
  <c r="A358" i="5"/>
  <c r="K357" i="5"/>
  <c r="J357" i="5"/>
  <c r="I357" i="5"/>
  <c r="H357" i="5"/>
  <c r="G357" i="5"/>
  <c r="F357" i="5"/>
  <c r="E357" i="5"/>
  <c r="D357" i="5"/>
  <c r="B357" i="5"/>
  <c r="A357" i="5"/>
  <c r="C357" i="5" s="1"/>
  <c r="K356" i="5"/>
  <c r="J356" i="5"/>
  <c r="A356" i="5"/>
  <c r="A355" i="5"/>
  <c r="E355" i="5" s="1"/>
  <c r="K354" i="5"/>
  <c r="J354" i="5"/>
  <c r="I354" i="5"/>
  <c r="H354" i="5"/>
  <c r="F354" i="5"/>
  <c r="E354" i="5"/>
  <c r="D354" i="5"/>
  <c r="B354" i="5"/>
  <c r="A354" i="5"/>
  <c r="A353" i="5"/>
  <c r="K352" i="5"/>
  <c r="J352" i="5"/>
  <c r="I352" i="5"/>
  <c r="H352" i="5"/>
  <c r="G352" i="5"/>
  <c r="F352" i="5"/>
  <c r="E352" i="5"/>
  <c r="D352" i="5"/>
  <c r="C352" i="5"/>
  <c r="B352" i="5"/>
  <c r="A352" i="5"/>
  <c r="A351" i="5"/>
  <c r="J350" i="5"/>
  <c r="I350" i="5"/>
  <c r="D350" i="5"/>
  <c r="A350" i="5"/>
  <c r="K349" i="5"/>
  <c r="I349" i="5"/>
  <c r="H349" i="5"/>
  <c r="G349" i="5"/>
  <c r="B349" i="5"/>
  <c r="A349" i="5"/>
  <c r="K348" i="5"/>
  <c r="J348" i="5"/>
  <c r="I348" i="5"/>
  <c r="H348" i="5"/>
  <c r="G348" i="5"/>
  <c r="F348" i="5"/>
  <c r="E348" i="5"/>
  <c r="D348" i="5"/>
  <c r="C348" i="5"/>
  <c r="B348" i="5"/>
  <c r="A348" i="5"/>
  <c r="A348" i="6" s="1"/>
  <c r="K347" i="5"/>
  <c r="J347" i="5"/>
  <c r="I347" i="5"/>
  <c r="G347" i="5"/>
  <c r="F347" i="5"/>
  <c r="E347" i="5"/>
  <c r="D347" i="5"/>
  <c r="A347" i="5"/>
  <c r="J346" i="5"/>
  <c r="I346" i="5"/>
  <c r="H346" i="5"/>
  <c r="G346" i="5"/>
  <c r="F346" i="5"/>
  <c r="E346" i="5"/>
  <c r="D346" i="5"/>
  <c r="B346" i="5"/>
  <c r="A346" i="5"/>
  <c r="K345" i="5"/>
  <c r="I345" i="5"/>
  <c r="H345" i="5"/>
  <c r="E345" i="5"/>
  <c r="D345" i="5"/>
  <c r="C345" i="5"/>
  <c r="B345" i="5"/>
  <c r="A345" i="5"/>
  <c r="A344" i="5"/>
  <c r="K343" i="5"/>
  <c r="C343" i="5"/>
  <c r="A343" i="5"/>
  <c r="G342" i="5"/>
  <c r="B342" i="5"/>
  <c r="A342" i="5"/>
  <c r="K341" i="5"/>
  <c r="J341" i="5"/>
  <c r="I341" i="5"/>
  <c r="H341" i="5"/>
  <c r="G341" i="5"/>
  <c r="E341" i="5"/>
  <c r="D341" i="5"/>
  <c r="C341" i="5"/>
  <c r="A341" i="5"/>
  <c r="K340" i="5"/>
  <c r="J340" i="5"/>
  <c r="I340" i="5"/>
  <c r="H340" i="5"/>
  <c r="G340" i="5"/>
  <c r="F340" i="5"/>
  <c r="E340" i="5"/>
  <c r="D340" i="5"/>
  <c r="C340" i="5"/>
  <c r="A340" i="5"/>
  <c r="A340" i="6" s="1"/>
  <c r="D340" i="6" s="1"/>
  <c r="H339" i="5"/>
  <c r="G339" i="5"/>
  <c r="F339" i="5"/>
  <c r="E339" i="5"/>
  <c r="C339" i="5"/>
  <c r="B339" i="5"/>
  <c r="A339" i="5"/>
  <c r="J338" i="5"/>
  <c r="I338" i="5"/>
  <c r="H338" i="5"/>
  <c r="G338" i="5"/>
  <c r="F338" i="5"/>
  <c r="E338" i="5"/>
  <c r="D338" i="5"/>
  <c r="C338" i="5"/>
  <c r="B338" i="5"/>
  <c r="A338" i="5"/>
  <c r="J337" i="5"/>
  <c r="D337" i="5"/>
  <c r="C337" i="5"/>
  <c r="A337" i="5"/>
  <c r="J336" i="5"/>
  <c r="D336" i="5"/>
  <c r="C336" i="5"/>
  <c r="B336" i="5"/>
  <c r="A336" i="5"/>
  <c r="K335" i="5"/>
  <c r="J335" i="5"/>
  <c r="I335" i="5"/>
  <c r="H335" i="5"/>
  <c r="G335" i="5"/>
  <c r="A335" i="5"/>
  <c r="H334" i="5"/>
  <c r="C334" i="5"/>
  <c r="A334" i="5"/>
  <c r="K333" i="5"/>
  <c r="J333" i="5"/>
  <c r="I333" i="5"/>
  <c r="H333" i="5"/>
  <c r="G333" i="5"/>
  <c r="F333" i="5"/>
  <c r="E333" i="5"/>
  <c r="D333" i="5"/>
  <c r="C333" i="5"/>
  <c r="B333" i="5"/>
  <c r="A333" i="5"/>
  <c r="A333" i="6" s="1"/>
  <c r="G332" i="5"/>
  <c r="F332" i="5"/>
  <c r="D332" i="5"/>
  <c r="C332" i="5"/>
  <c r="B332" i="5"/>
  <c r="A332" i="5"/>
  <c r="A331" i="5"/>
  <c r="K330" i="5"/>
  <c r="I330" i="5"/>
  <c r="A330" i="5"/>
  <c r="A329" i="5"/>
  <c r="J329" i="5" s="1"/>
  <c r="K328" i="5"/>
  <c r="J328" i="5"/>
  <c r="I328" i="5"/>
  <c r="H328" i="5"/>
  <c r="G328" i="5"/>
  <c r="F328" i="5"/>
  <c r="E328" i="5"/>
  <c r="D328" i="5"/>
  <c r="C328" i="5"/>
  <c r="B328" i="5"/>
  <c r="A328" i="5"/>
  <c r="A328" i="6" s="1"/>
  <c r="K327" i="5"/>
  <c r="I327" i="5"/>
  <c r="G327" i="5"/>
  <c r="F327" i="5"/>
  <c r="A327" i="5"/>
  <c r="K326" i="5"/>
  <c r="J326" i="5"/>
  <c r="I326" i="5"/>
  <c r="H326" i="5"/>
  <c r="G326" i="5"/>
  <c r="F326" i="5"/>
  <c r="E326" i="5"/>
  <c r="D326" i="5"/>
  <c r="B326" i="5"/>
  <c r="A326" i="5"/>
  <c r="C326" i="5" s="1"/>
  <c r="G325" i="5"/>
  <c r="F325" i="5"/>
  <c r="E325" i="5"/>
  <c r="B325" i="5"/>
  <c r="A325" i="5"/>
  <c r="K324" i="5"/>
  <c r="J324" i="5"/>
  <c r="I324" i="5"/>
  <c r="H324" i="5"/>
  <c r="G324" i="5"/>
  <c r="F324" i="5"/>
  <c r="E324" i="5"/>
  <c r="D324" i="5"/>
  <c r="C324" i="5"/>
  <c r="B324" i="5"/>
  <c r="A324" i="5"/>
  <c r="A323" i="5"/>
  <c r="J323" i="5" s="1"/>
  <c r="K322" i="5"/>
  <c r="J322" i="5"/>
  <c r="I322" i="5"/>
  <c r="H322" i="5"/>
  <c r="G322" i="5"/>
  <c r="F322" i="5"/>
  <c r="E322" i="5"/>
  <c r="D322" i="5"/>
  <c r="C322" i="5"/>
  <c r="A322" i="5"/>
  <c r="A322" i="6" s="1"/>
  <c r="K321" i="5"/>
  <c r="I321" i="5"/>
  <c r="H321" i="5"/>
  <c r="G321" i="5"/>
  <c r="E321" i="5"/>
  <c r="C321" i="5"/>
  <c r="B321" i="5"/>
  <c r="A321" i="5"/>
  <c r="K320" i="5"/>
  <c r="J320" i="5"/>
  <c r="I320" i="5"/>
  <c r="H320" i="5"/>
  <c r="G320" i="5"/>
  <c r="F320" i="5"/>
  <c r="E320" i="5"/>
  <c r="D320" i="5"/>
  <c r="C320" i="5"/>
  <c r="B320" i="5"/>
  <c r="A320" i="5"/>
  <c r="A320" i="6" s="1"/>
  <c r="D320" i="6" s="1"/>
  <c r="K319" i="5"/>
  <c r="J319" i="5"/>
  <c r="I319" i="5"/>
  <c r="G319" i="5"/>
  <c r="F319" i="5"/>
  <c r="E319" i="5"/>
  <c r="B319" i="5"/>
  <c r="A319" i="5"/>
  <c r="G318" i="5"/>
  <c r="F318" i="5"/>
  <c r="E318" i="5"/>
  <c r="A318" i="5"/>
  <c r="K317" i="5"/>
  <c r="J317" i="5"/>
  <c r="I317" i="5"/>
  <c r="H317" i="5"/>
  <c r="G317" i="5"/>
  <c r="E317" i="5"/>
  <c r="D317" i="5"/>
  <c r="A317" i="5"/>
  <c r="K316" i="5"/>
  <c r="H316" i="5"/>
  <c r="A316" i="5"/>
  <c r="J315" i="5"/>
  <c r="I315" i="5"/>
  <c r="C315" i="5"/>
  <c r="B315" i="5"/>
  <c r="A315" i="5"/>
  <c r="J314" i="5"/>
  <c r="I314" i="5"/>
  <c r="H314" i="5"/>
  <c r="G314" i="5"/>
  <c r="F314" i="5"/>
  <c r="E314" i="5"/>
  <c r="D314" i="5"/>
  <c r="A314" i="5"/>
  <c r="K314" i="5" s="1"/>
  <c r="J313" i="5"/>
  <c r="H313" i="5"/>
  <c r="E313" i="5"/>
  <c r="C313" i="5"/>
  <c r="B313" i="5"/>
  <c r="A313" i="5"/>
  <c r="J312" i="5"/>
  <c r="G312" i="5"/>
  <c r="F312" i="5"/>
  <c r="E312" i="5"/>
  <c r="C312" i="5"/>
  <c r="A312" i="5"/>
  <c r="A311" i="5"/>
  <c r="D311" i="5" s="1"/>
  <c r="I310" i="5"/>
  <c r="F310" i="5"/>
  <c r="E310" i="5"/>
  <c r="D310" i="5"/>
  <c r="B310" i="5"/>
  <c r="A310" i="5"/>
  <c r="D309" i="5"/>
  <c r="B309" i="5"/>
  <c r="A309" i="5"/>
  <c r="A308" i="5"/>
  <c r="H308" i="5" s="1"/>
  <c r="J307" i="5"/>
  <c r="A307" i="5"/>
  <c r="J306" i="5"/>
  <c r="I306" i="5"/>
  <c r="H306" i="5"/>
  <c r="A306" i="5"/>
  <c r="K305" i="5"/>
  <c r="J305" i="5"/>
  <c r="I305" i="5"/>
  <c r="H305" i="5"/>
  <c r="G305" i="5"/>
  <c r="F305" i="5"/>
  <c r="E305" i="5"/>
  <c r="D305" i="5"/>
  <c r="A305" i="5"/>
  <c r="A305" i="6" s="1"/>
  <c r="J304" i="5"/>
  <c r="H304" i="5"/>
  <c r="G304" i="5"/>
  <c r="F304" i="5"/>
  <c r="E304" i="5"/>
  <c r="D304" i="5"/>
  <c r="C304" i="5"/>
  <c r="B304" i="5"/>
  <c r="A304" i="5"/>
  <c r="K303" i="5"/>
  <c r="J303" i="5"/>
  <c r="I303" i="5"/>
  <c r="H303" i="5"/>
  <c r="G303" i="5"/>
  <c r="F303" i="5"/>
  <c r="E303" i="5"/>
  <c r="D303" i="5"/>
  <c r="C303" i="5"/>
  <c r="B303" i="5"/>
  <c r="A303" i="5"/>
  <c r="A303" i="6" s="1"/>
  <c r="K303" i="6" s="1"/>
  <c r="A302" i="5"/>
  <c r="C302" i="5" s="1"/>
  <c r="K301" i="5"/>
  <c r="J301" i="5"/>
  <c r="I301" i="5"/>
  <c r="H301" i="5"/>
  <c r="G301" i="5"/>
  <c r="F301" i="5"/>
  <c r="E301" i="5"/>
  <c r="D301" i="5"/>
  <c r="B301" i="5"/>
  <c r="A301" i="5"/>
  <c r="A301" i="6" s="1"/>
  <c r="K300" i="5"/>
  <c r="F300" i="5"/>
  <c r="C300" i="5"/>
  <c r="A300" i="5"/>
  <c r="K299" i="5"/>
  <c r="J299" i="5"/>
  <c r="A299" i="5"/>
  <c r="E299" i="5" s="1"/>
  <c r="K298" i="5"/>
  <c r="J298" i="5"/>
  <c r="I298" i="5"/>
  <c r="D298" i="5"/>
  <c r="C298" i="5"/>
  <c r="B298" i="5"/>
  <c r="A298" i="5"/>
  <c r="K297" i="5"/>
  <c r="F297" i="5"/>
  <c r="A297" i="5"/>
  <c r="K296" i="5"/>
  <c r="J296" i="5"/>
  <c r="I296" i="5"/>
  <c r="H296" i="5"/>
  <c r="B296" i="5"/>
  <c r="A296" i="5"/>
  <c r="K295" i="5"/>
  <c r="J295" i="5"/>
  <c r="I295" i="5"/>
  <c r="H295" i="5"/>
  <c r="G295" i="5"/>
  <c r="F295" i="5"/>
  <c r="E295" i="5"/>
  <c r="D295" i="5"/>
  <c r="B295" i="5"/>
  <c r="A295" i="5"/>
  <c r="A295" i="6" s="1"/>
  <c r="K294" i="5"/>
  <c r="J294" i="5"/>
  <c r="I294" i="5"/>
  <c r="H294" i="5"/>
  <c r="G294" i="5"/>
  <c r="F294" i="5"/>
  <c r="E294" i="5"/>
  <c r="C294" i="5"/>
  <c r="B294" i="5"/>
  <c r="A294" i="5"/>
  <c r="A294" i="6" s="1"/>
  <c r="K293" i="5"/>
  <c r="J293" i="5"/>
  <c r="I293" i="5"/>
  <c r="H293" i="5"/>
  <c r="G293" i="5"/>
  <c r="F293" i="5"/>
  <c r="E293" i="5"/>
  <c r="D293" i="5"/>
  <c r="C293" i="5"/>
  <c r="B293" i="5"/>
  <c r="A293" i="5"/>
  <c r="A293" i="6" s="1"/>
  <c r="K292" i="5"/>
  <c r="J292" i="5"/>
  <c r="I292" i="5"/>
  <c r="H292" i="5"/>
  <c r="G292" i="5"/>
  <c r="F292" i="5"/>
  <c r="E292" i="5"/>
  <c r="D292" i="5"/>
  <c r="C292" i="5"/>
  <c r="A292" i="5"/>
  <c r="A292" i="6" s="1"/>
  <c r="K291" i="5"/>
  <c r="I291" i="5"/>
  <c r="H291" i="5"/>
  <c r="G291" i="5"/>
  <c r="E291" i="5"/>
  <c r="D291" i="5"/>
  <c r="C291" i="5"/>
  <c r="A291" i="5"/>
  <c r="K290" i="5"/>
  <c r="J290" i="5"/>
  <c r="I290" i="5"/>
  <c r="F290" i="5"/>
  <c r="B290" i="5"/>
  <c r="A290" i="5"/>
  <c r="A289" i="5"/>
  <c r="F289" i="5" s="1"/>
  <c r="A288" i="5"/>
  <c r="J287" i="5"/>
  <c r="G287" i="5"/>
  <c r="E287" i="5"/>
  <c r="B287" i="5"/>
  <c r="A287" i="5"/>
  <c r="A286" i="5"/>
  <c r="J286" i="5" s="1"/>
  <c r="A285" i="5"/>
  <c r="K285" i="5" s="1"/>
  <c r="J284" i="5"/>
  <c r="E284" i="5"/>
  <c r="C284" i="5"/>
  <c r="B284" i="5"/>
  <c r="A284" i="5"/>
  <c r="K283" i="5"/>
  <c r="J283" i="5"/>
  <c r="I283" i="5"/>
  <c r="H283" i="5"/>
  <c r="G283" i="5"/>
  <c r="F283" i="5"/>
  <c r="C283" i="5"/>
  <c r="A283" i="5"/>
  <c r="J282" i="5"/>
  <c r="H282" i="5"/>
  <c r="G282" i="5"/>
  <c r="F282" i="5"/>
  <c r="E282" i="5"/>
  <c r="D282" i="5"/>
  <c r="C282" i="5"/>
  <c r="A282" i="5"/>
  <c r="A281" i="5"/>
  <c r="I281" i="5" s="1"/>
  <c r="J280" i="5"/>
  <c r="I280" i="5"/>
  <c r="H280" i="5"/>
  <c r="E280" i="5"/>
  <c r="C280" i="5"/>
  <c r="A280" i="5"/>
  <c r="K279" i="5"/>
  <c r="J279" i="5"/>
  <c r="I279" i="5"/>
  <c r="H279" i="5"/>
  <c r="G279" i="5"/>
  <c r="F279" i="5"/>
  <c r="E279" i="5"/>
  <c r="D279" i="5"/>
  <c r="C279" i="5"/>
  <c r="B279" i="5"/>
  <c r="A279" i="5"/>
  <c r="A278" i="5"/>
  <c r="H278" i="5" s="1"/>
  <c r="I277" i="5"/>
  <c r="H277" i="5"/>
  <c r="G277" i="5"/>
  <c r="F277" i="5"/>
  <c r="E277" i="5"/>
  <c r="A277" i="5"/>
  <c r="K276" i="5"/>
  <c r="H276" i="5"/>
  <c r="F276" i="5"/>
  <c r="E276" i="5"/>
  <c r="B276" i="5"/>
  <c r="A276" i="5"/>
  <c r="K275" i="5"/>
  <c r="J275" i="5"/>
  <c r="G275" i="5"/>
  <c r="D275" i="5"/>
  <c r="C275" i="5"/>
  <c r="B275" i="5"/>
  <c r="A275" i="5"/>
  <c r="K274" i="5"/>
  <c r="J274" i="5"/>
  <c r="I274" i="5"/>
  <c r="F274" i="5"/>
  <c r="D274" i="5"/>
  <c r="C274" i="5"/>
  <c r="B274" i="5"/>
  <c r="A274" i="5"/>
  <c r="K273" i="5"/>
  <c r="J273" i="5"/>
  <c r="I273" i="5"/>
  <c r="H273" i="5"/>
  <c r="G273" i="5"/>
  <c r="F273" i="5"/>
  <c r="E273" i="5"/>
  <c r="D273" i="5"/>
  <c r="B273" i="5"/>
  <c r="A273" i="5"/>
  <c r="A273" i="6" s="1"/>
  <c r="A272" i="5"/>
  <c r="I272" i="5" s="1"/>
  <c r="K271" i="5"/>
  <c r="J271" i="5"/>
  <c r="I271" i="5"/>
  <c r="H271" i="5"/>
  <c r="G271" i="5"/>
  <c r="F271" i="5"/>
  <c r="E271" i="5"/>
  <c r="D271" i="5"/>
  <c r="C271" i="5"/>
  <c r="B271" i="5"/>
  <c r="A271" i="5"/>
  <c r="A271" i="6" s="1"/>
  <c r="K270" i="5"/>
  <c r="J270" i="5"/>
  <c r="I270" i="5"/>
  <c r="H270" i="5"/>
  <c r="G270" i="5"/>
  <c r="F270" i="5"/>
  <c r="E270" i="5"/>
  <c r="C270" i="5"/>
  <c r="B270" i="5"/>
  <c r="A270" i="5"/>
  <c r="A270" i="6" s="1"/>
  <c r="K269" i="5"/>
  <c r="J269" i="5"/>
  <c r="I269" i="5"/>
  <c r="H269" i="5"/>
  <c r="G269" i="5"/>
  <c r="F269" i="5"/>
  <c r="E269" i="5"/>
  <c r="D269" i="5"/>
  <c r="C269" i="5"/>
  <c r="A269" i="5"/>
  <c r="A269" i="6" s="1"/>
  <c r="K268" i="5"/>
  <c r="J268" i="5"/>
  <c r="I268" i="5"/>
  <c r="H268" i="5"/>
  <c r="G268" i="5"/>
  <c r="F268" i="5"/>
  <c r="E268" i="5"/>
  <c r="D268" i="5"/>
  <c r="C268" i="5"/>
  <c r="A268" i="5"/>
  <c r="A268" i="6" s="1"/>
  <c r="A267" i="5"/>
  <c r="I267" i="5" s="1"/>
  <c r="A266" i="5"/>
  <c r="K266" i="5" s="1"/>
  <c r="A265" i="5"/>
  <c r="D265" i="5" s="1"/>
  <c r="H264" i="5"/>
  <c r="G264" i="5"/>
  <c r="F264" i="5"/>
  <c r="E264" i="5"/>
  <c r="D264" i="5"/>
  <c r="B264" i="5"/>
  <c r="A264" i="5"/>
  <c r="I264" i="5" s="1"/>
  <c r="K263" i="5"/>
  <c r="J263" i="5"/>
  <c r="D263" i="5"/>
  <c r="B263" i="5"/>
  <c r="A263" i="5"/>
  <c r="H262" i="5"/>
  <c r="G262" i="5"/>
  <c r="D262" i="5"/>
  <c r="C262" i="5"/>
  <c r="B262" i="5"/>
  <c r="A262" i="5"/>
  <c r="K261" i="5"/>
  <c r="J261" i="5"/>
  <c r="I261" i="5"/>
  <c r="H261" i="5"/>
  <c r="F261" i="5"/>
  <c r="E261" i="5"/>
  <c r="C261" i="5"/>
  <c r="B261" i="5"/>
  <c r="A261" i="5"/>
  <c r="K260" i="5"/>
  <c r="I260" i="5"/>
  <c r="F260" i="5"/>
  <c r="D260" i="5"/>
  <c r="C260" i="5"/>
  <c r="B260" i="5"/>
  <c r="A260" i="5"/>
  <c r="J259" i="5"/>
  <c r="I259" i="5"/>
  <c r="G259" i="5"/>
  <c r="F259" i="5"/>
  <c r="D259" i="5"/>
  <c r="A259" i="5"/>
  <c r="K258" i="5"/>
  <c r="J258" i="5"/>
  <c r="G258" i="5"/>
  <c r="E258" i="5"/>
  <c r="D258" i="5"/>
  <c r="C258" i="5"/>
  <c r="B258" i="5"/>
  <c r="A258" i="5"/>
  <c r="J257" i="5"/>
  <c r="H257" i="5"/>
  <c r="G257" i="5"/>
  <c r="F257" i="5"/>
  <c r="D257" i="5"/>
  <c r="B257" i="5"/>
  <c r="A257" i="5"/>
  <c r="I256" i="5"/>
  <c r="H256" i="5"/>
  <c r="F256" i="5"/>
  <c r="C256" i="5"/>
  <c r="A256" i="5"/>
  <c r="K255" i="5"/>
  <c r="J255" i="5"/>
  <c r="I255" i="5"/>
  <c r="H255" i="5"/>
  <c r="G255" i="5"/>
  <c r="F255" i="5"/>
  <c r="E255" i="5"/>
  <c r="D255" i="5"/>
  <c r="C255" i="5"/>
  <c r="B255" i="5"/>
  <c r="A255" i="5"/>
  <c r="A255" i="6" s="1"/>
  <c r="J255" i="6" s="1"/>
  <c r="K254" i="5"/>
  <c r="J254" i="5"/>
  <c r="H254" i="5"/>
  <c r="G254" i="5"/>
  <c r="F254" i="5"/>
  <c r="E254" i="5"/>
  <c r="D254" i="5"/>
  <c r="C254" i="5"/>
  <c r="B254" i="5"/>
  <c r="A254" i="5"/>
  <c r="I254" i="5" s="1"/>
  <c r="K253" i="5"/>
  <c r="I253" i="5"/>
  <c r="H253" i="5"/>
  <c r="G253" i="5"/>
  <c r="F253" i="5"/>
  <c r="E253" i="5"/>
  <c r="D253" i="5"/>
  <c r="C253" i="5"/>
  <c r="B253" i="5"/>
  <c r="A253" i="5"/>
  <c r="I252" i="5"/>
  <c r="E252" i="5"/>
  <c r="D252" i="5"/>
  <c r="B252" i="5"/>
  <c r="A252" i="5"/>
  <c r="K251" i="5"/>
  <c r="J251" i="5"/>
  <c r="G251" i="5"/>
  <c r="E251" i="5"/>
  <c r="D251" i="5"/>
  <c r="C251" i="5"/>
  <c r="B251" i="5"/>
  <c r="A251" i="5"/>
  <c r="K250" i="5"/>
  <c r="J250" i="5"/>
  <c r="I250" i="5"/>
  <c r="G250" i="5"/>
  <c r="A250" i="5"/>
  <c r="A249" i="5"/>
  <c r="C249" i="5" s="1"/>
  <c r="K248" i="5"/>
  <c r="J248" i="5"/>
  <c r="I248" i="5"/>
  <c r="H248" i="5"/>
  <c r="G248" i="5"/>
  <c r="E248" i="5"/>
  <c r="D248" i="5"/>
  <c r="B248" i="5"/>
  <c r="A248" i="5"/>
  <c r="K247" i="5"/>
  <c r="J247" i="5"/>
  <c r="I247" i="5"/>
  <c r="H247" i="5"/>
  <c r="G247" i="5"/>
  <c r="F247" i="5"/>
  <c r="E247" i="5"/>
  <c r="D247" i="5"/>
  <c r="C247" i="5"/>
  <c r="B247" i="5"/>
  <c r="A247" i="5"/>
  <c r="A247" i="6" s="1"/>
  <c r="K246" i="5"/>
  <c r="J246" i="5"/>
  <c r="I246" i="5"/>
  <c r="H246" i="5"/>
  <c r="G246" i="5"/>
  <c r="F246" i="5"/>
  <c r="E246" i="5"/>
  <c r="C246" i="5"/>
  <c r="B246" i="5"/>
  <c r="A246" i="5"/>
  <c r="A246" i="6" s="1"/>
  <c r="K245" i="5"/>
  <c r="J245" i="5"/>
  <c r="I245" i="5"/>
  <c r="H245" i="5"/>
  <c r="G245" i="5"/>
  <c r="F245" i="5"/>
  <c r="E245" i="5"/>
  <c r="B245" i="5"/>
  <c r="A245" i="5"/>
  <c r="D245" i="5" s="1"/>
  <c r="A244" i="5"/>
  <c r="D244" i="5" s="1"/>
  <c r="K243" i="5"/>
  <c r="J243" i="5"/>
  <c r="I243" i="5"/>
  <c r="G243" i="5"/>
  <c r="F243" i="5"/>
  <c r="E243" i="5"/>
  <c r="D243" i="5"/>
  <c r="C243" i="5"/>
  <c r="B243" i="5"/>
  <c r="A243" i="5"/>
  <c r="A242" i="5"/>
  <c r="J241" i="5"/>
  <c r="G241" i="5"/>
  <c r="F241" i="5"/>
  <c r="E241" i="5"/>
  <c r="B241" i="5"/>
  <c r="A241" i="5"/>
  <c r="K240" i="5"/>
  <c r="J240" i="5"/>
  <c r="I240" i="5"/>
  <c r="H240" i="5"/>
  <c r="G240" i="5"/>
  <c r="F240" i="5"/>
  <c r="E240" i="5"/>
  <c r="D240" i="5"/>
  <c r="A240" i="5"/>
  <c r="A239" i="5"/>
  <c r="K238" i="5"/>
  <c r="J238" i="5"/>
  <c r="I238" i="5"/>
  <c r="H238" i="5"/>
  <c r="G238" i="5"/>
  <c r="F238" i="5"/>
  <c r="E238" i="5"/>
  <c r="D238" i="5"/>
  <c r="C238" i="5"/>
  <c r="B238" i="5"/>
  <c r="A238" i="5"/>
  <c r="A238" i="6" s="1"/>
  <c r="K238" i="6" s="1"/>
  <c r="A237" i="5"/>
  <c r="E237" i="5" s="1"/>
  <c r="J236" i="5"/>
  <c r="I236" i="5"/>
  <c r="H236" i="5"/>
  <c r="G236" i="5"/>
  <c r="F236" i="5"/>
  <c r="D236" i="5"/>
  <c r="C236" i="5"/>
  <c r="B236" i="5"/>
  <c r="A236" i="5"/>
  <c r="K235" i="5"/>
  <c r="H235" i="5"/>
  <c r="F235" i="5"/>
  <c r="E235" i="5"/>
  <c r="D235" i="5"/>
  <c r="C235" i="5"/>
  <c r="A235" i="5"/>
  <c r="K234" i="5"/>
  <c r="I234" i="5"/>
  <c r="H234" i="5"/>
  <c r="A234" i="5"/>
  <c r="K233" i="5"/>
  <c r="J233" i="5"/>
  <c r="I233" i="5"/>
  <c r="D233" i="5"/>
  <c r="C233" i="5"/>
  <c r="B233" i="5"/>
  <c r="A233" i="5"/>
  <c r="K232" i="5"/>
  <c r="J232" i="5"/>
  <c r="I232" i="5"/>
  <c r="F232" i="5"/>
  <c r="D232" i="5"/>
  <c r="C232" i="5"/>
  <c r="B232" i="5"/>
  <c r="A232" i="5"/>
  <c r="A232" i="6" s="1"/>
  <c r="K231" i="5"/>
  <c r="J231" i="5"/>
  <c r="I231" i="5"/>
  <c r="G231" i="5"/>
  <c r="D231" i="5"/>
  <c r="A231" i="5"/>
  <c r="A230" i="5"/>
  <c r="K230" i="5" s="1"/>
  <c r="K229" i="5"/>
  <c r="J229" i="5"/>
  <c r="I229" i="5"/>
  <c r="H229" i="5"/>
  <c r="G229" i="5"/>
  <c r="F229" i="5"/>
  <c r="E229" i="5"/>
  <c r="D229" i="5"/>
  <c r="B229" i="5"/>
  <c r="A229" i="5"/>
  <c r="A229" i="6" s="1"/>
  <c r="I229" i="6" s="1"/>
  <c r="K228" i="5"/>
  <c r="J228" i="5"/>
  <c r="I228" i="5"/>
  <c r="H228" i="5"/>
  <c r="G228" i="5"/>
  <c r="F228" i="5"/>
  <c r="E228" i="5"/>
  <c r="D228" i="5"/>
  <c r="C228" i="5"/>
  <c r="A228" i="5"/>
  <c r="A228" i="6" s="1"/>
  <c r="C228" i="6" s="1"/>
  <c r="K227" i="5"/>
  <c r="J227" i="5"/>
  <c r="I227" i="5"/>
  <c r="H227" i="5"/>
  <c r="G227" i="5"/>
  <c r="F227" i="5"/>
  <c r="E227" i="5"/>
  <c r="D227" i="5"/>
  <c r="C227" i="5"/>
  <c r="B227" i="5"/>
  <c r="A227" i="5"/>
  <c r="A227" i="6" s="1"/>
  <c r="A226" i="5"/>
  <c r="K225" i="5"/>
  <c r="J225" i="5"/>
  <c r="I225" i="5"/>
  <c r="F225" i="5"/>
  <c r="D225" i="5"/>
  <c r="C225" i="5"/>
  <c r="B225" i="5"/>
  <c r="A225" i="5"/>
  <c r="H225" i="5" s="1"/>
  <c r="A224" i="5"/>
  <c r="G224" i="5" s="1"/>
  <c r="K223" i="5"/>
  <c r="J223" i="5"/>
  <c r="I223" i="5"/>
  <c r="A223" i="5"/>
  <c r="J222" i="5"/>
  <c r="G222" i="5"/>
  <c r="E222" i="5"/>
  <c r="C222" i="5"/>
  <c r="A222" i="5"/>
  <c r="A221" i="5"/>
  <c r="J221" i="5" s="1"/>
  <c r="A220" i="5"/>
  <c r="B220" i="5" s="1"/>
  <c r="K219" i="5"/>
  <c r="I219" i="5"/>
  <c r="H219" i="5"/>
  <c r="G219" i="5"/>
  <c r="F219" i="5"/>
  <c r="E219" i="5"/>
  <c r="D219" i="5"/>
  <c r="C219" i="5"/>
  <c r="A219" i="5"/>
  <c r="K218" i="5"/>
  <c r="J218" i="5"/>
  <c r="I218" i="5"/>
  <c r="H218" i="5"/>
  <c r="G218" i="5"/>
  <c r="F218" i="5"/>
  <c r="C218" i="5"/>
  <c r="A218" i="5"/>
  <c r="A217" i="5"/>
  <c r="G217" i="5" s="1"/>
  <c r="K216" i="5"/>
  <c r="J216" i="5"/>
  <c r="I216" i="5"/>
  <c r="H216" i="5"/>
  <c r="G216" i="5"/>
  <c r="A216" i="5"/>
  <c r="A215" i="5"/>
  <c r="C215" i="5" s="1"/>
  <c r="K214" i="5"/>
  <c r="J214" i="5"/>
  <c r="I214" i="5"/>
  <c r="H214" i="5"/>
  <c r="G214" i="5"/>
  <c r="F214" i="5"/>
  <c r="E214" i="5"/>
  <c r="D214" i="5"/>
  <c r="C214" i="5"/>
  <c r="B214" i="5"/>
  <c r="A214" i="5"/>
  <c r="A214" i="6" s="1"/>
  <c r="F214" i="6" s="1"/>
  <c r="A213" i="5"/>
  <c r="H212" i="5"/>
  <c r="F212" i="5"/>
  <c r="D212" i="5"/>
  <c r="C212" i="5"/>
  <c r="B212" i="5"/>
  <c r="A212" i="5"/>
  <c r="H211" i="5"/>
  <c r="F211" i="5"/>
  <c r="E211" i="5"/>
  <c r="D211" i="5"/>
  <c r="C211" i="5"/>
  <c r="B211" i="5"/>
  <c r="A211" i="5"/>
  <c r="A210" i="5"/>
  <c r="E210" i="5" s="1"/>
  <c r="A209" i="5"/>
  <c r="J209" i="5" s="1"/>
  <c r="K208" i="5"/>
  <c r="J208" i="5"/>
  <c r="I208" i="5"/>
  <c r="H208" i="5"/>
  <c r="G208" i="5"/>
  <c r="F208" i="5"/>
  <c r="E208" i="5"/>
  <c r="C208" i="5"/>
  <c r="B208" i="5"/>
  <c r="A208" i="5"/>
  <c r="A208" i="6" s="1"/>
  <c r="J207" i="5"/>
  <c r="I207" i="5"/>
  <c r="G207" i="5"/>
  <c r="D207" i="5"/>
  <c r="B207" i="5"/>
  <c r="A207" i="5"/>
  <c r="K206" i="5"/>
  <c r="J206" i="5"/>
  <c r="I206" i="5"/>
  <c r="H206" i="5"/>
  <c r="G206" i="5"/>
  <c r="F206" i="5"/>
  <c r="E206" i="5"/>
  <c r="D206" i="5"/>
  <c r="C206" i="5"/>
  <c r="B206" i="5"/>
  <c r="A206" i="5"/>
  <c r="A206" i="6" s="1"/>
  <c r="K205" i="5"/>
  <c r="J205" i="5"/>
  <c r="I205" i="5"/>
  <c r="H205" i="5"/>
  <c r="G205" i="5"/>
  <c r="F205" i="5"/>
  <c r="E205" i="5"/>
  <c r="D205" i="5"/>
  <c r="B205" i="5"/>
  <c r="A205" i="5"/>
  <c r="A205" i="6" s="1"/>
  <c r="A204" i="5"/>
  <c r="K203" i="5"/>
  <c r="J203" i="5"/>
  <c r="I203" i="5"/>
  <c r="H203" i="5"/>
  <c r="G203" i="5"/>
  <c r="F203" i="5"/>
  <c r="E203" i="5"/>
  <c r="D203" i="5"/>
  <c r="C203" i="5"/>
  <c r="B203" i="5"/>
  <c r="A203" i="5"/>
  <c r="A203" i="6" s="1"/>
  <c r="D203" i="6" s="1"/>
  <c r="I202" i="5"/>
  <c r="H202" i="5"/>
  <c r="A202" i="5"/>
  <c r="D202" i="5" s="1"/>
  <c r="K201" i="5"/>
  <c r="J201" i="5"/>
  <c r="I201" i="5"/>
  <c r="H201" i="5"/>
  <c r="G201" i="5"/>
  <c r="F201" i="5"/>
  <c r="E201" i="5"/>
  <c r="B201" i="5"/>
  <c r="A201" i="5"/>
  <c r="A201" i="6" s="1"/>
  <c r="I200" i="5"/>
  <c r="G200" i="5"/>
  <c r="F200" i="5"/>
  <c r="A200" i="5"/>
  <c r="K199" i="5"/>
  <c r="J199" i="5"/>
  <c r="I199" i="5"/>
  <c r="H199" i="5"/>
  <c r="G199" i="5"/>
  <c r="F199" i="5"/>
  <c r="E199" i="5"/>
  <c r="D199" i="5"/>
  <c r="C199" i="5"/>
  <c r="B199" i="5"/>
  <c r="A199" i="5"/>
  <c r="A199" i="6" s="1"/>
  <c r="E198" i="5"/>
  <c r="C198" i="5"/>
  <c r="A198" i="5"/>
  <c r="H197" i="5"/>
  <c r="G197" i="5"/>
  <c r="F197" i="5"/>
  <c r="E197" i="5"/>
  <c r="C197" i="5"/>
  <c r="A197" i="5"/>
  <c r="K196" i="5"/>
  <c r="J196" i="5"/>
  <c r="I196" i="5"/>
  <c r="H196" i="5"/>
  <c r="E196" i="5"/>
  <c r="C196" i="5"/>
  <c r="A196" i="5"/>
  <c r="A195" i="5"/>
  <c r="A194" i="5"/>
  <c r="K193" i="5"/>
  <c r="J193" i="5"/>
  <c r="I193" i="5"/>
  <c r="F193" i="5"/>
  <c r="D193" i="5"/>
  <c r="C193" i="5"/>
  <c r="B193" i="5"/>
  <c r="A193" i="5"/>
  <c r="A193" i="6" s="1"/>
  <c r="J192" i="5"/>
  <c r="A192" i="5"/>
  <c r="E192" i="5" s="1"/>
  <c r="A191" i="5"/>
  <c r="F191" i="5" s="1"/>
  <c r="K190" i="5"/>
  <c r="J190" i="5"/>
  <c r="I190" i="5"/>
  <c r="H190" i="5"/>
  <c r="G190" i="5"/>
  <c r="F190" i="5"/>
  <c r="E190" i="5"/>
  <c r="D190" i="5"/>
  <c r="C190" i="5"/>
  <c r="B190" i="5"/>
  <c r="A190" i="5"/>
  <c r="A190" i="6" s="1"/>
  <c r="J189" i="5"/>
  <c r="H189" i="5"/>
  <c r="G189" i="5"/>
  <c r="F189" i="5"/>
  <c r="E189" i="5"/>
  <c r="D189" i="5"/>
  <c r="C189" i="5"/>
  <c r="B189" i="5"/>
  <c r="A189" i="5"/>
  <c r="A188" i="5"/>
  <c r="E188" i="5" s="1"/>
  <c r="K187" i="5"/>
  <c r="H187" i="5"/>
  <c r="F187" i="5"/>
  <c r="C187" i="5"/>
  <c r="B187" i="5"/>
  <c r="A187" i="5"/>
  <c r="A186" i="5"/>
  <c r="K185" i="5"/>
  <c r="J185" i="5"/>
  <c r="F185" i="5"/>
  <c r="D185" i="5"/>
  <c r="A185" i="5"/>
  <c r="K184" i="5"/>
  <c r="J184" i="5"/>
  <c r="I184" i="5"/>
  <c r="H184" i="5"/>
  <c r="G184" i="5"/>
  <c r="F184" i="5"/>
  <c r="E184" i="5"/>
  <c r="D184" i="5"/>
  <c r="C184" i="5"/>
  <c r="A184" i="5"/>
  <c r="A184" i="6" s="1"/>
  <c r="G184" i="6" s="1"/>
  <c r="I183" i="5"/>
  <c r="G183" i="5"/>
  <c r="D183" i="5"/>
  <c r="B183" i="5"/>
  <c r="A183" i="5"/>
  <c r="J182" i="5"/>
  <c r="I182" i="5"/>
  <c r="H182" i="5"/>
  <c r="G182" i="5"/>
  <c r="F182" i="5"/>
  <c r="E182" i="5"/>
  <c r="C182" i="5"/>
  <c r="A182" i="5"/>
  <c r="K181" i="5"/>
  <c r="J181" i="5"/>
  <c r="I181" i="5"/>
  <c r="H181" i="5"/>
  <c r="G181" i="5"/>
  <c r="F181" i="5"/>
  <c r="E181" i="5"/>
  <c r="D181" i="5"/>
  <c r="B181" i="5"/>
  <c r="A181" i="5"/>
  <c r="A181" i="6" s="1"/>
  <c r="A180" i="5"/>
  <c r="K179" i="5"/>
  <c r="J179" i="5"/>
  <c r="I179" i="5"/>
  <c r="H179" i="5"/>
  <c r="G179" i="5"/>
  <c r="F179" i="5"/>
  <c r="E179" i="5"/>
  <c r="D179" i="5"/>
  <c r="C179" i="5"/>
  <c r="B179" i="5"/>
  <c r="A179" i="5"/>
  <c r="A179" i="6" s="1"/>
  <c r="A178" i="5"/>
  <c r="K177" i="5"/>
  <c r="J177" i="5"/>
  <c r="I177" i="5"/>
  <c r="H177" i="5"/>
  <c r="G177" i="5"/>
  <c r="F177" i="5"/>
  <c r="E177" i="5"/>
  <c r="D177" i="5"/>
  <c r="C177" i="5"/>
  <c r="A177" i="5"/>
  <c r="A177" i="6" s="1"/>
  <c r="F176" i="5"/>
  <c r="D176" i="5"/>
  <c r="C176" i="5"/>
  <c r="B176" i="5"/>
  <c r="A176" i="5"/>
  <c r="A175" i="5"/>
  <c r="K175" i="5" s="1"/>
  <c r="K174" i="5"/>
  <c r="J174" i="5"/>
  <c r="G174" i="5"/>
  <c r="A174" i="5"/>
  <c r="J173" i="5"/>
  <c r="I173" i="5"/>
  <c r="H173" i="5"/>
  <c r="F173" i="5"/>
  <c r="E173" i="5"/>
  <c r="D173" i="5"/>
  <c r="C173" i="5"/>
  <c r="A173" i="5"/>
  <c r="K172" i="5"/>
  <c r="J172" i="5"/>
  <c r="H172" i="5"/>
  <c r="E172" i="5"/>
  <c r="C172" i="5"/>
  <c r="A172" i="5"/>
  <c r="A171" i="5"/>
  <c r="C171" i="5" s="1"/>
  <c r="K170" i="5"/>
  <c r="I170" i="5"/>
  <c r="H170" i="5"/>
  <c r="G170" i="5"/>
  <c r="F170" i="5"/>
  <c r="C170" i="5"/>
  <c r="A170" i="5"/>
  <c r="K169" i="5"/>
  <c r="J169" i="5"/>
  <c r="I169" i="5"/>
  <c r="H169" i="5"/>
  <c r="G169" i="5"/>
  <c r="F169" i="5"/>
  <c r="E169" i="5"/>
  <c r="B169" i="5"/>
  <c r="A169" i="5"/>
  <c r="D169" i="5" s="1"/>
  <c r="A168" i="5"/>
  <c r="I168" i="5" s="1"/>
  <c r="J167" i="5"/>
  <c r="I167" i="5"/>
  <c r="H167" i="5"/>
  <c r="G167" i="5"/>
  <c r="F167" i="5"/>
  <c r="E167" i="5"/>
  <c r="D167" i="5"/>
  <c r="C167" i="5"/>
  <c r="B167" i="5"/>
  <c r="A167" i="5"/>
  <c r="K166" i="5"/>
  <c r="J166" i="5"/>
  <c r="I166" i="5"/>
  <c r="H166" i="5"/>
  <c r="G166" i="5"/>
  <c r="F166" i="5"/>
  <c r="E166" i="5"/>
  <c r="D166" i="5"/>
  <c r="C166" i="5"/>
  <c r="B166" i="5"/>
  <c r="A166" i="5"/>
  <c r="A166" i="6" s="1"/>
  <c r="I166" i="6" s="1"/>
  <c r="A165" i="5"/>
  <c r="H165" i="5" s="1"/>
  <c r="K164" i="5"/>
  <c r="J164" i="5"/>
  <c r="B164" i="5"/>
  <c r="A164" i="5"/>
  <c r="A163" i="5"/>
  <c r="K162" i="5"/>
  <c r="J162" i="5"/>
  <c r="I162" i="5"/>
  <c r="H162" i="5"/>
  <c r="G162" i="5"/>
  <c r="F162" i="5"/>
  <c r="E162" i="5"/>
  <c r="D162" i="5"/>
  <c r="C162" i="5"/>
  <c r="B162" i="5"/>
  <c r="A162" i="5"/>
  <c r="A161" i="5"/>
  <c r="H160" i="5"/>
  <c r="G160" i="5"/>
  <c r="D160" i="5"/>
  <c r="A160" i="5"/>
  <c r="K159" i="5"/>
  <c r="J159" i="5"/>
  <c r="I159" i="5"/>
  <c r="H159" i="5"/>
  <c r="B159" i="5"/>
  <c r="A159" i="5"/>
  <c r="A158" i="5"/>
  <c r="G158" i="5" s="1"/>
  <c r="K157" i="5"/>
  <c r="J157" i="5"/>
  <c r="I157" i="5"/>
  <c r="H157" i="5"/>
  <c r="G157" i="5"/>
  <c r="F157" i="5"/>
  <c r="E157" i="5"/>
  <c r="B157" i="5"/>
  <c r="A157" i="5"/>
  <c r="D157" i="5" s="1"/>
  <c r="A156" i="5"/>
  <c r="K155" i="5"/>
  <c r="J155" i="5"/>
  <c r="I155" i="5"/>
  <c r="H155" i="5"/>
  <c r="G155" i="5"/>
  <c r="F155" i="5"/>
  <c r="E155" i="5"/>
  <c r="D155" i="5"/>
  <c r="C155" i="5"/>
  <c r="A155" i="5"/>
  <c r="A155" i="6" s="1"/>
  <c r="B155" i="6" s="1"/>
  <c r="A154" i="5"/>
  <c r="B154" i="5" s="1"/>
  <c r="I153" i="5"/>
  <c r="A153" i="5"/>
  <c r="B153" i="5" s="1"/>
  <c r="I152" i="5"/>
  <c r="G152" i="5"/>
  <c r="F152" i="5"/>
  <c r="E152" i="5"/>
  <c r="D152" i="5"/>
  <c r="C152" i="5"/>
  <c r="A152" i="5"/>
  <c r="A151" i="5"/>
  <c r="C151" i="5" s="1"/>
  <c r="K150" i="5"/>
  <c r="G150" i="5"/>
  <c r="E150" i="5"/>
  <c r="D150" i="5"/>
  <c r="C150" i="5"/>
  <c r="A150" i="5"/>
  <c r="K149" i="5"/>
  <c r="J149" i="5"/>
  <c r="I149" i="5"/>
  <c r="F149" i="5"/>
  <c r="D149" i="5"/>
  <c r="C149" i="5"/>
  <c r="B149" i="5"/>
  <c r="A149" i="5"/>
  <c r="H149" i="5" s="1"/>
  <c r="A148" i="5"/>
  <c r="H148" i="5" s="1"/>
  <c r="A147" i="5"/>
  <c r="J146" i="5"/>
  <c r="I146" i="5"/>
  <c r="A146" i="5"/>
  <c r="K145" i="5"/>
  <c r="J145" i="5"/>
  <c r="I145" i="5"/>
  <c r="H145" i="5"/>
  <c r="E145" i="5"/>
  <c r="D145" i="5"/>
  <c r="A145" i="5"/>
  <c r="G144" i="5"/>
  <c r="A144" i="5"/>
  <c r="A143" i="5"/>
  <c r="E143" i="5" s="1"/>
  <c r="K142" i="5"/>
  <c r="J142" i="5"/>
  <c r="I142" i="5"/>
  <c r="H142" i="5"/>
  <c r="G142" i="5"/>
  <c r="F142" i="5"/>
  <c r="E142" i="5"/>
  <c r="D142" i="5"/>
  <c r="C142" i="5"/>
  <c r="B142" i="5"/>
  <c r="A142" i="5"/>
  <c r="A142" i="6" s="1"/>
  <c r="A141" i="5"/>
  <c r="E141" i="5" s="1"/>
  <c r="K140" i="5"/>
  <c r="J140" i="5"/>
  <c r="I140" i="5"/>
  <c r="H140" i="5"/>
  <c r="G140" i="5"/>
  <c r="F140" i="5"/>
  <c r="E140" i="5"/>
  <c r="D140" i="5"/>
  <c r="C140" i="5"/>
  <c r="A140" i="5"/>
  <c r="A140" i="6" s="1"/>
  <c r="D140" i="6" s="1"/>
  <c r="F139" i="5"/>
  <c r="D139" i="5"/>
  <c r="C139" i="5"/>
  <c r="B139" i="5"/>
  <c r="A139" i="5"/>
  <c r="K138" i="5"/>
  <c r="J138" i="5"/>
  <c r="I138" i="5"/>
  <c r="H138" i="5"/>
  <c r="G138" i="5"/>
  <c r="F138" i="5"/>
  <c r="E138" i="5"/>
  <c r="D138" i="5"/>
  <c r="C138" i="5"/>
  <c r="B138" i="5"/>
  <c r="A138" i="5"/>
  <c r="A138" i="6" s="1"/>
  <c r="A137" i="5"/>
  <c r="I137" i="5" s="1"/>
  <c r="A136" i="5"/>
  <c r="H136" i="5" s="1"/>
  <c r="K135" i="5"/>
  <c r="J135" i="5"/>
  <c r="H135" i="5"/>
  <c r="G135" i="5"/>
  <c r="D135" i="5"/>
  <c r="A135" i="5"/>
  <c r="G134" i="5"/>
  <c r="E134" i="5"/>
  <c r="A134" i="5"/>
  <c r="K133" i="5"/>
  <c r="J133" i="5"/>
  <c r="I133" i="5"/>
  <c r="H133" i="5"/>
  <c r="G133" i="5"/>
  <c r="F133" i="5"/>
  <c r="E133" i="5"/>
  <c r="B133" i="5"/>
  <c r="A133" i="5"/>
  <c r="D133" i="5" s="1"/>
  <c r="A132" i="5"/>
  <c r="K132" i="5" s="1"/>
  <c r="K131" i="5"/>
  <c r="J131" i="5"/>
  <c r="H131" i="5"/>
  <c r="G131" i="5"/>
  <c r="F131" i="5"/>
  <c r="A131" i="5"/>
  <c r="A130" i="5"/>
  <c r="A129" i="5"/>
  <c r="K128" i="5"/>
  <c r="J128" i="5"/>
  <c r="I128" i="5"/>
  <c r="H128" i="5"/>
  <c r="G128" i="5"/>
  <c r="F128" i="5"/>
  <c r="E128" i="5"/>
  <c r="D128" i="5"/>
  <c r="C128" i="5"/>
  <c r="B128" i="5"/>
  <c r="A128" i="5"/>
  <c r="A128" i="6" s="1"/>
  <c r="A127" i="5"/>
  <c r="K126" i="5"/>
  <c r="J126" i="5"/>
  <c r="I126" i="5"/>
  <c r="H126" i="5"/>
  <c r="G126" i="5"/>
  <c r="F126" i="5"/>
  <c r="E126" i="5"/>
  <c r="D126" i="5"/>
  <c r="C126" i="5"/>
  <c r="B126" i="5"/>
  <c r="A126" i="5"/>
  <c r="A126" i="6" s="1"/>
  <c r="H126" i="6" s="1"/>
  <c r="H125" i="5"/>
  <c r="F125" i="5"/>
  <c r="E125" i="5"/>
  <c r="D125" i="5"/>
  <c r="A125" i="5"/>
  <c r="A124" i="5"/>
  <c r="H124" i="5" s="1"/>
  <c r="K123" i="5"/>
  <c r="J123" i="5"/>
  <c r="I123" i="5"/>
  <c r="F123" i="5"/>
  <c r="D123" i="5"/>
  <c r="C123" i="5"/>
  <c r="B123" i="5"/>
  <c r="A123" i="5"/>
  <c r="A123" i="6" s="1"/>
  <c r="K122" i="5"/>
  <c r="J122" i="5"/>
  <c r="I122" i="5"/>
  <c r="H122" i="5"/>
  <c r="G122" i="5"/>
  <c r="D122" i="5"/>
  <c r="A122" i="5"/>
  <c r="A121" i="5"/>
  <c r="J121" i="5" s="1"/>
  <c r="A120" i="5"/>
  <c r="B120" i="5" s="1"/>
  <c r="K119" i="5"/>
  <c r="J119" i="5"/>
  <c r="I119" i="5"/>
  <c r="H119" i="5"/>
  <c r="G119" i="5"/>
  <c r="F119" i="5"/>
  <c r="E119" i="5"/>
  <c r="B119" i="5"/>
  <c r="A119" i="5"/>
  <c r="D119" i="5" s="1"/>
  <c r="K118" i="5"/>
  <c r="J118" i="5"/>
  <c r="I118" i="5"/>
  <c r="G118" i="5"/>
  <c r="F118" i="5"/>
  <c r="E118" i="5"/>
  <c r="D118" i="5"/>
  <c r="C118" i="5"/>
  <c r="B118" i="5"/>
  <c r="A118" i="5"/>
  <c r="K117" i="5"/>
  <c r="J117" i="5"/>
  <c r="I117" i="5"/>
  <c r="H117" i="5"/>
  <c r="G117" i="5"/>
  <c r="F117" i="5"/>
  <c r="E117" i="5"/>
  <c r="D117" i="5"/>
  <c r="C117" i="5"/>
  <c r="A117" i="5"/>
  <c r="B117" i="5" s="1"/>
  <c r="K116" i="5"/>
  <c r="I116" i="5"/>
  <c r="H116" i="5"/>
  <c r="G116" i="5"/>
  <c r="E116" i="5"/>
  <c r="C116" i="5"/>
  <c r="B116" i="5"/>
  <c r="A116" i="5"/>
  <c r="K115" i="5"/>
  <c r="J115" i="5"/>
  <c r="I115" i="5"/>
  <c r="H115" i="5"/>
  <c r="G115" i="5"/>
  <c r="F115" i="5"/>
  <c r="E115" i="5"/>
  <c r="D115" i="5"/>
  <c r="C115" i="5"/>
  <c r="A115" i="5"/>
  <c r="A115" i="6" s="1"/>
  <c r="F115" i="6" s="1"/>
  <c r="I114" i="5"/>
  <c r="A114" i="5"/>
  <c r="K113" i="5"/>
  <c r="J113" i="5"/>
  <c r="I113" i="5"/>
  <c r="C113" i="5"/>
  <c r="A113" i="5"/>
  <c r="H113" i="5" s="1"/>
  <c r="A112" i="5"/>
  <c r="I111" i="5"/>
  <c r="F111" i="5"/>
  <c r="E111" i="5"/>
  <c r="D111" i="5"/>
  <c r="C111" i="5"/>
  <c r="A111" i="5"/>
  <c r="A110" i="5"/>
  <c r="C110" i="5" s="1"/>
  <c r="A109" i="5"/>
  <c r="C109" i="5" s="1"/>
  <c r="A108" i="5"/>
  <c r="I108" i="5" s="1"/>
  <c r="G107" i="5"/>
  <c r="F107" i="5"/>
  <c r="E107" i="5"/>
  <c r="A107" i="5"/>
  <c r="I106" i="5"/>
  <c r="H106" i="5"/>
  <c r="G106" i="5"/>
  <c r="F106" i="5"/>
  <c r="A106" i="5"/>
  <c r="A105" i="5"/>
  <c r="K104" i="5"/>
  <c r="J104" i="5"/>
  <c r="I104" i="5"/>
  <c r="H104" i="5"/>
  <c r="G104" i="5"/>
  <c r="F104" i="5"/>
  <c r="E104" i="5"/>
  <c r="D104" i="5"/>
  <c r="C104" i="5"/>
  <c r="B104" i="5"/>
  <c r="A104" i="5"/>
  <c r="A104" i="6" s="1"/>
  <c r="D104" i="6" s="1"/>
  <c r="J103" i="5"/>
  <c r="H103" i="5"/>
  <c r="G103" i="5"/>
  <c r="A103" i="5"/>
  <c r="C103" i="5" s="1"/>
  <c r="K102" i="5"/>
  <c r="J102" i="5"/>
  <c r="I102" i="5"/>
  <c r="H102" i="5"/>
  <c r="G102" i="5"/>
  <c r="F102" i="5"/>
  <c r="E102" i="5"/>
  <c r="D102" i="5"/>
  <c r="C102" i="5"/>
  <c r="B102" i="5"/>
  <c r="A102" i="5"/>
  <c r="A101" i="5"/>
  <c r="H101" i="5" s="1"/>
  <c r="K100" i="5"/>
  <c r="J100" i="5"/>
  <c r="I100" i="5"/>
  <c r="H100" i="5"/>
  <c r="C100" i="5"/>
  <c r="A100" i="5"/>
  <c r="A100" i="6" s="1"/>
  <c r="E100" i="6" s="1"/>
  <c r="K99" i="5"/>
  <c r="J99" i="5"/>
  <c r="I99" i="5"/>
  <c r="F99" i="5"/>
  <c r="D99" i="5"/>
  <c r="C99" i="5"/>
  <c r="B99" i="5"/>
  <c r="A99" i="5"/>
  <c r="A99" i="6" s="1"/>
  <c r="E98" i="5"/>
  <c r="A98" i="5"/>
  <c r="B98" i="5" s="1"/>
  <c r="K97" i="5"/>
  <c r="J97" i="5"/>
  <c r="I97" i="5"/>
  <c r="D97" i="5"/>
  <c r="B97" i="5"/>
  <c r="A97" i="5"/>
  <c r="K96" i="5"/>
  <c r="I96" i="5"/>
  <c r="H96" i="5"/>
  <c r="G96" i="5"/>
  <c r="F96" i="5"/>
  <c r="E96" i="5"/>
  <c r="D96" i="5"/>
  <c r="C96" i="5"/>
  <c r="A96" i="5"/>
  <c r="K95" i="5"/>
  <c r="J95" i="5"/>
  <c r="I95" i="5"/>
  <c r="H95" i="5"/>
  <c r="G95" i="5"/>
  <c r="F95" i="5"/>
  <c r="E95" i="5"/>
  <c r="D95" i="5"/>
  <c r="B95" i="5"/>
  <c r="A95" i="5"/>
  <c r="A95" i="6" s="1"/>
  <c r="A94" i="5"/>
  <c r="J94" i="5" s="1"/>
  <c r="K93" i="5"/>
  <c r="J93" i="5"/>
  <c r="I93" i="5"/>
  <c r="H93" i="5"/>
  <c r="G93" i="5"/>
  <c r="F93" i="5"/>
  <c r="E93" i="5"/>
  <c r="D93" i="5"/>
  <c r="C93" i="5"/>
  <c r="B93" i="5"/>
  <c r="A93" i="5"/>
  <c r="A93" i="6" s="1"/>
  <c r="K92" i="5"/>
  <c r="I92" i="5"/>
  <c r="C92" i="5"/>
  <c r="A92" i="5"/>
  <c r="K91" i="5"/>
  <c r="J91" i="5"/>
  <c r="I91" i="5"/>
  <c r="H91" i="5"/>
  <c r="G91" i="5"/>
  <c r="F91" i="5"/>
  <c r="E91" i="5"/>
  <c r="D91" i="5"/>
  <c r="C91" i="5"/>
  <c r="A91" i="5"/>
  <c r="A91" i="6" s="1"/>
  <c r="A90" i="5"/>
  <c r="E90" i="5" s="1"/>
  <c r="A89" i="5"/>
  <c r="A89" i="6" s="1"/>
  <c r="A88" i="5"/>
  <c r="K87" i="5"/>
  <c r="J87" i="5"/>
  <c r="I87" i="5"/>
  <c r="G87" i="5"/>
  <c r="F87" i="5"/>
  <c r="E87" i="5"/>
  <c r="D87" i="5"/>
  <c r="C87" i="5"/>
  <c r="B87" i="5"/>
  <c r="A87" i="5"/>
  <c r="A87" i="6" s="1"/>
  <c r="G87" i="6" s="1"/>
  <c r="C86" i="5"/>
  <c r="A86" i="5"/>
  <c r="A85" i="5"/>
  <c r="A84" i="5"/>
  <c r="K84" i="5" s="1"/>
  <c r="K83" i="5"/>
  <c r="J83" i="5"/>
  <c r="H83" i="5"/>
  <c r="C83" i="5"/>
  <c r="A83" i="5"/>
  <c r="A82" i="5"/>
  <c r="A81" i="5"/>
  <c r="K80" i="5"/>
  <c r="J80" i="5"/>
  <c r="I80" i="5"/>
  <c r="H80" i="5"/>
  <c r="G80" i="5"/>
  <c r="F80" i="5"/>
  <c r="E80" i="5"/>
  <c r="D80" i="5"/>
  <c r="C80" i="5"/>
  <c r="B80" i="5"/>
  <c r="A80" i="5"/>
  <c r="A80" i="6" s="1"/>
  <c r="A79" i="5"/>
  <c r="K78" i="5"/>
  <c r="J78" i="5"/>
  <c r="I78" i="5"/>
  <c r="H78" i="5"/>
  <c r="G78" i="5"/>
  <c r="F78" i="5"/>
  <c r="E78" i="5"/>
  <c r="D78" i="5"/>
  <c r="C78" i="5"/>
  <c r="B78" i="5"/>
  <c r="A78" i="5"/>
  <c r="A78" i="6" s="1"/>
  <c r="J78" i="6" s="1"/>
  <c r="H77" i="5"/>
  <c r="F77" i="5"/>
  <c r="E77" i="5"/>
  <c r="D77" i="5"/>
  <c r="A77" i="5"/>
  <c r="K76" i="5"/>
  <c r="J76" i="5"/>
  <c r="I76" i="5"/>
  <c r="H76" i="5"/>
  <c r="G76" i="5"/>
  <c r="F76" i="5"/>
  <c r="E76" i="5"/>
  <c r="D76" i="5"/>
  <c r="C76" i="5"/>
  <c r="B76" i="5"/>
  <c r="A76" i="5"/>
  <c r="K75" i="5"/>
  <c r="J75" i="5"/>
  <c r="I75" i="5"/>
  <c r="F75" i="5"/>
  <c r="D75" i="5"/>
  <c r="C75" i="5"/>
  <c r="B75" i="5"/>
  <c r="A75" i="5"/>
  <c r="A75" i="6" s="1"/>
  <c r="I75" i="6" s="1"/>
  <c r="A74" i="5"/>
  <c r="D73" i="5"/>
  <c r="A73" i="5"/>
  <c r="K72" i="5"/>
  <c r="I72" i="5"/>
  <c r="H72" i="5"/>
  <c r="G72" i="5"/>
  <c r="F72" i="5"/>
  <c r="E72" i="5"/>
  <c r="D72" i="5"/>
  <c r="C72" i="5"/>
  <c r="A72" i="5"/>
  <c r="K71" i="5"/>
  <c r="J71" i="5"/>
  <c r="I71" i="5"/>
  <c r="H71" i="5"/>
  <c r="G71" i="5"/>
  <c r="F71" i="5"/>
  <c r="E71" i="5"/>
  <c r="D71" i="5"/>
  <c r="B71" i="5"/>
  <c r="A71" i="5"/>
  <c r="A71" i="6" s="1"/>
  <c r="J70" i="5"/>
  <c r="I70" i="5"/>
  <c r="G70" i="5"/>
  <c r="D70" i="5"/>
  <c r="C70" i="5"/>
  <c r="A70" i="5"/>
  <c r="K69" i="5"/>
  <c r="J69" i="5"/>
  <c r="I69" i="5"/>
  <c r="H69" i="5"/>
  <c r="G69" i="5"/>
  <c r="F69" i="5"/>
  <c r="E69" i="5"/>
  <c r="D69" i="5"/>
  <c r="C69" i="5"/>
  <c r="B69" i="5"/>
  <c r="A69" i="5"/>
  <c r="A69" i="6" s="1"/>
  <c r="H69" i="6" s="1"/>
  <c r="H68" i="5"/>
  <c r="G68" i="5"/>
  <c r="E68" i="5"/>
  <c r="D68" i="5"/>
  <c r="C68" i="5"/>
  <c r="A68" i="5"/>
  <c r="K67" i="5"/>
  <c r="J67" i="5"/>
  <c r="I67" i="5"/>
  <c r="H67" i="5"/>
  <c r="G67" i="5"/>
  <c r="F67" i="5"/>
  <c r="E67" i="5"/>
  <c r="D67" i="5"/>
  <c r="C67" i="5"/>
  <c r="A67" i="5"/>
  <c r="B67" i="5" s="1"/>
  <c r="A66" i="5"/>
  <c r="A65" i="5"/>
  <c r="G65" i="5" s="1"/>
  <c r="G64" i="5"/>
  <c r="E64" i="5"/>
  <c r="D64" i="5"/>
  <c r="C64" i="5"/>
  <c r="A64" i="5"/>
  <c r="A63" i="5"/>
  <c r="I63" i="5" s="1"/>
  <c r="K62" i="5"/>
  <c r="J62" i="5"/>
  <c r="E62" i="5"/>
  <c r="A62" i="5"/>
  <c r="J61" i="5"/>
  <c r="I61" i="5"/>
  <c r="H61" i="5"/>
  <c r="G61" i="5"/>
  <c r="F61" i="5"/>
  <c r="A61" i="5"/>
  <c r="B61" i="5" s="1"/>
  <c r="A60" i="5"/>
  <c r="J60" i="5" s="1"/>
  <c r="A59" i="5"/>
  <c r="K58" i="5"/>
  <c r="J58" i="5"/>
  <c r="I58" i="5"/>
  <c r="H58" i="5"/>
  <c r="A58" i="5"/>
  <c r="A57" i="5"/>
  <c r="E57" i="5" s="1"/>
  <c r="K56" i="5"/>
  <c r="J56" i="5"/>
  <c r="I56" i="5"/>
  <c r="H56" i="5"/>
  <c r="G56" i="5"/>
  <c r="F56" i="5"/>
  <c r="E56" i="5"/>
  <c r="D56" i="5"/>
  <c r="C56" i="5"/>
  <c r="B56" i="5"/>
  <c r="A56" i="5"/>
  <c r="J55" i="5"/>
  <c r="H55" i="5"/>
  <c r="G55" i="5"/>
  <c r="A55" i="5"/>
  <c r="K54" i="5"/>
  <c r="J54" i="5"/>
  <c r="I54" i="5"/>
  <c r="H54" i="5"/>
  <c r="G54" i="5"/>
  <c r="F54" i="5"/>
  <c r="E54" i="5"/>
  <c r="D54" i="5"/>
  <c r="C54" i="5"/>
  <c r="B54" i="5"/>
  <c r="A54" i="5"/>
  <c r="A54" i="6" s="1"/>
  <c r="A53" i="5"/>
  <c r="B53" i="5" s="1"/>
  <c r="K52" i="5"/>
  <c r="J52" i="5"/>
  <c r="A52" i="5"/>
  <c r="I52" i="5" s="1"/>
  <c r="K51" i="5"/>
  <c r="J51" i="5"/>
  <c r="I51" i="5"/>
  <c r="F51" i="5"/>
  <c r="D51" i="5"/>
  <c r="C51" i="5"/>
  <c r="B51" i="5"/>
  <c r="A51" i="5"/>
  <c r="H51" i="5" s="1"/>
  <c r="J50" i="5"/>
  <c r="I50" i="5"/>
  <c r="H50" i="5"/>
  <c r="G50" i="5"/>
  <c r="F50" i="5"/>
  <c r="E50" i="5"/>
  <c r="D50" i="5"/>
  <c r="A50" i="5"/>
  <c r="C50" i="5" s="1"/>
  <c r="A49" i="5"/>
  <c r="K49" i="5" s="1"/>
  <c r="A48" i="5"/>
  <c r="K47" i="5"/>
  <c r="J47" i="5"/>
  <c r="I47" i="5"/>
  <c r="H47" i="5"/>
  <c r="G47" i="5"/>
  <c r="F47" i="5"/>
  <c r="E47" i="5"/>
  <c r="B47" i="5"/>
  <c r="A47" i="5"/>
  <c r="D47" i="5" s="1"/>
  <c r="A46" i="5"/>
  <c r="K45" i="5"/>
  <c r="J45" i="5"/>
  <c r="I45" i="5"/>
  <c r="H45" i="5"/>
  <c r="G45" i="5"/>
  <c r="F45" i="5"/>
  <c r="E45" i="5"/>
  <c r="D45" i="5"/>
  <c r="C45" i="5"/>
  <c r="A45" i="5"/>
  <c r="B45" i="5" s="1"/>
  <c r="A44" i="5"/>
  <c r="K43" i="5"/>
  <c r="J43" i="5"/>
  <c r="I43" i="5"/>
  <c r="H43" i="5"/>
  <c r="G43" i="5"/>
  <c r="F43" i="5"/>
  <c r="E43" i="5"/>
  <c r="D43" i="5"/>
  <c r="C43" i="5"/>
  <c r="A43" i="5"/>
  <c r="A43" i="6" s="1"/>
  <c r="F43" i="6" s="1"/>
  <c r="I42" i="5"/>
  <c r="G42" i="5"/>
  <c r="F42" i="5"/>
  <c r="E42" i="5"/>
  <c r="C42" i="5"/>
  <c r="A42" i="5"/>
  <c r="A41" i="5"/>
  <c r="A41" i="6" s="1"/>
  <c r="G40" i="5"/>
  <c r="E40" i="5"/>
  <c r="D40" i="5"/>
  <c r="A40" i="5"/>
  <c r="K39" i="5"/>
  <c r="J39" i="5"/>
  <c r="I39" i="5"/>
  <c r="H39" i="5"/>
  <c r="G39" i="5"/>
  <c r="F39" i="5"/>
  <c r="E39" i="5"/>
  <c r="D39" i="5"/>
  <c r="C39" i="5"/>
  <c r="B39" i="5"/>
  <c r="A39" i="5"/>
  <c r="A39" i="6" s="1"/>
  <c r="A38" i="5"/>
  <c r="J38" i="5" s="1"/>
  <c r="A37" i="5"/>
  <c r="G37" i="5" s="1"/>
  <c r="K36" i="5"/>
  <c r="J36" i="5"/>
  <c r="I36" i="5"/>
  <c r="A36" i="5"/>
  <c r="A35" i="5"/>
  <c r="E35" i="5" s="1"/>
  <c r="A34" i="5"/>
  <c r="K34" i="5" s="1"/>
  <c r="J33" i="5"/>
  <c r="I33" i="5"/>
  <c r="H33" i="5"/>
  <c r="F33" i="5"/>
  <c r="E33" i="5"/>
  <c r="D33" i="5"/>
  <c r="C33" i="5"/>
  <c r="B33" i="5"/>
  <c r="A33" i="5"/>
  <c r="K32" i="5"/>
  <c r="J32" i="5"/>
  <c r="I32" i="5"/>
  <c r="H32" i="5"/>
  <c r="G32" i="5"/>
  <c r="F32" i="5"/>
  <c r="E32" i="5"/>
  <c r="D32" i="5"/>
  <c r="C32" i="5"/>
  <c r="B32" i="5"/>
  <c r="A32" i="5"/>
  <c r="H31" i="5"/>
  <c r="G31" i="5"/>
  <c r="F31" i="5"/>
  <c r="D31" i="5"/>
  <c r="C31" i="5"/>
  <c r="B31" i="5"/>
  <c r="A31" i="5"/>
  <c r="J31" i="5" s="1"/>
  <c r="K30" i="5"/>
  <c r="J30" i="5"/>
  <c r="I30" i="5"/>
  <c r="H30" i="5"/>
  <c r="G30" i="5"/>
  <c r="F30" i="5"/>
  <c r="E30" i="5"/>
  <c r="D30" i="5"/>
  <c r="C30" i="5"/>
  <c r="B30" i="5"/>
  <c r="A30" i="5"/>
  <c r="A30" i="6" s="1"/>
  <c r="E30" i="6" s="1"/>
  <c r="K29" i="5"/>
  <c r="H29" i="5"/>
  <c r="F29" i="5"/>
  <c r="E29" i="5"/>
  <c r="D29" i="5"/>
  <c r="A29" i="5"/>
  <c r="K28" i="5"/>
  <c r="J28" i="5"/>
  <c r="I28" i="5"/>
  <c r="H28" i="5"/>
  <c r="G28" i="5"/>
  <c r="F28" i="5"/>
  <c r="E28" i="5"/>
  <c r="D28" i="5"/>
  <c r="C28" i="5"/>
  <c r="B28" i="5"/>
  <c r="A28" i="5"/>
  <c r="A28" i="6" s="1"/>
  <c r="K27" i="5"/>
  <c r="J27" i="5"/>
  <c r="I27" i="5"/>
  <c r="F27" i="5"/>
  <c r="D27" i="5"/>
  <c r="C27" i="5"/>
  <c r="B27" i="5"/>
  <c r="A27" i="5"/>
  <c r="A27" i="6" s="1"/>
  <c r="B27" i="6" s="1"/>
  <c r="K26" i="5"/>
  <c r="J26" i="5"/>
  <c r="I26" i="5"/>
  <c r="G26" i="5"/>
  <c r="F26" i="5"/>
  <c r="E26" i="5"/>
  <c r="D26" i="5"/>
  <c r="C26" i="5"/>
  <c r="B26" i="5"/>
  <c r="A26" i="5"/>
  <c r="A26" i="6" s="1"/>
  <c r="A25" i="5"/>
  <c r="K24" i="5"/>
  <c r="I24" i="5"/>
  <c r="H24" i="5"/>
  <c r="G24" i="5"/>
  <c r="F24" i="5"/>
  <c r="E24" i="5"/>
  <c r="D24" i="5"/>
  <c r="C24" i="5"/>
  <c r="B24" i="5"/>
  <c r="A24" i="5"/>
  <c r="K23" i="5"/>
  <c r="J23" i="5"/>
  <c r="I23" i="5"/>
  <c r="H23" i="5"/>
  <c r="G23" i="5"/>
  <c r="F23" i="5"/>
  <c r="E23" i="5"/>
  <c r="B23" i="5"/>
  <c r="A23" i="5"/>
  <c r="A23" i="6" s="1"/>
  <c r="A22" i="5"/>
  <c r="A22" i="6" s="1"/>
  <c r="I22" i="6" s="1"/>
  <c r="K21" i="5"/>
  <c r="J21" i="5"/>
  <c r="I21" i="5"/>
  <c r="H21" i="5"/>
  <c r="G21" i="5"/>
  <c r="F21" i="5"/>
  <c r="E21" i="5"/>
  <c r="D21" i="5"/>
  <c r="C21" i="5"/>
  <c r="A21" i="5"/>
  <c r="A21" i="6" s="1"/>
  <c r="A20" i="5"/>
  <c r="F20" i="5" s="1"/>
  <c r="A19" i="5"/>
  <c r="E19" i="5" s="1"/>
  <c r="I18" i="5"/>
  <c r="G18" i="5"/>
  <c r="F18" i="5"/>
  <c r="A18" i="5"/>
  <c r="A17" i="5"/>
  <c r="A16" i="5"/>
  <c r="E16" i="5" s="1"/>
  <c r="A15" i="5"/>
  <c r="A15" i="6" s="1"/>
  <c r="J14" i="5"/>
  <c r="I14" i="5"/>
  <c r="H14" i="5"/>
  <c r="E14" i="5"/>
  <c r="C14" i="5"/>
  <c r="A14" i="5"/>
  <c r="K13" i="5"/>
  <c r="H13" i="6" s="1"/>
  <c r="J13" i="5"/>
  <c r="H13" i="5"/>
  <c r="G13" i="6" s="1"/>
  <c r="G13" i="5"/>
  <c r="F13" i="6" s="1"/>
  <c r="F13" i="5"/>
  <c r="D13" i="5"/>
  <c r="C13" i="5"/>
  <c r="B13" i="5"/>
  <c r="A13" i="5"/>
  <c r="A13" i="6" s="1"/>
  <c r="A12" i="5"/>
  <c r="K11" i="5"/>
  <c r="J11" i="5"/>
  <c r="G11" i="5"/>
  <c r="F11" i="5"/>
  <c r="E11" i="5"/>
  <c r="I11" i="5" s="1"/>
  <c r="D11" i="5"/>
  <c r="C11" i="5"/>
  <c r="B11" i="5"/>
  <c r="A11" i="5"/>
  <c r="H11" i="5" s="1"/>
  <c r="A10" i="5"/>
  <c r="G10" i="5" s="1"/>
  <c r="A9" i="5"/>
  <c r="D9" i="5" s="1"/>
  <c r="K8" i="5"/>
  <c r="J8" i="5"/>
  <c r="H8" i="5"/>
  <c r="I8" i="5" s="1"/>
  <c r="G8" i="5"/>
  <c r="F8" i="5"/>
  <c r="E8" i="5"/>
  <c r="D8" i="5"/>
  <c r="C8" i="5"/>
  <c r="B8" i="5"/>
  <c r="A8" i="5"/>
  <c r="A7" i="5"/>
  <c r="B7" i="5" s="1"/>
  <c r="K6" i="5"/>
  <c r="H6" i="5"/>
  <c r="G6" i="5"/>
  <c r="F6" i="5"/>
  <c r="E6" i="5"/>
  <c r="D6" i="5"/>
  <c r="C6" i="5"/>
  <c r="J6" i="5" s="1"/>
  <c r="A6" i="5"/>
  <c r="A6" i="6" s="1"/>
  <c r="A5" i="5"/>
  <c r="H5" i="5" s="1"/>
  <c r="A4" i="5"/>
  <c r="F4" i="5" s="1"/>
  <c r="J501" i="4"/>
  <c r="I501" i="4"/>
  <c r="J500" i="4"/>
  <c r="I500" i="4"/>
  <c r="J499" i="4"/>
  <c r="I499" i="4"/>
  <c r="J498" i="4"/>
  <c r="I498" i="4"/>
  <c r="J497" i="4"/>
  <c r="I497" i="4"/>
  <c r="J496" i="4"/>
  <c r="I496" i="4"/>
  <c r="J495" i="4"/>
  <c r="I495" i="4"/>
  <c r="J494" i="4"/>
  <c r="I494" i="4"/>
  <c r="J493" i="4"/>
  <c r="I493" i="4"/>
  <c r="J492" i="4"/>
  <c r="I492" i="4"/>
  <c r="J491" i="4"/>
  <c r="I491" i="4"/>
  <c r="J490" i="4"/>
  <c r="I490" i="4"/>
  <c r="J489" i="4"/>
  <c r="I489" i="4"/>
  <c r="J488" i="4"/>
  <c r="I488" i="4"/>
  <c r="J487" i="4"/>
  <c r="I487" i="4"/>
  <c r="J486" i="4"/>
  <c r="I486" i="4"/>
  <c r="J485" i="4"/>
  <c r="I485" i="4"/>
  <c r="J484" i="4"/>
  <c r="I484" i="4"/>
  <c r="J483" i="4"/>
  <c r="I483" i="4"/>
  <c r="J482" i="4"/>
  <c r="I482" i="4"/>
  <c r="J481" i="4"/>
  <c r="I481" i="4"/>
  <c r="J480" i="4"/>
  <c r="I480" i="4"/>
  <c r="J479" i="4"/>
  <c r="I479" i="4"/>
  <c r="J478" i="4"/>
  <c r="I478" i="4"/>
  <c r="J477" i="4"/>
  <c r="I477" i="4"/>
  <c r="J476" i="4"/>
  <c r="I476" i="4"/>
  <c r="J475" i="4"/>
  <c r="I475" i="4"/>
  <c r="J474" i="4"/>
  <c r="I474" i="4"/>
  <c r="J473" i="4"/>
  <c r="I473" i="4"/>
  <c r="J472" i="4"/>
  <c r="I472" i="4"/>
  <c r="J471" i="4"/>
  <c r="I471" i="4"/>
  <c r="J470" i="4"/>
  <c r="I470" i="4"/>
  <c r="J469" i="4"/>
  <c r="I469" i="4"/>
  <c r="J468" i="4"/>
  <c r="I468" i="4"/>
  <c r="J467" i="4"/>
  <c r="I467" i="4"/>
  <c r="J466" i="4"/>
  <c r="I466" i="4"/>
  <c r="J465" i="4"/>
  <c r="I465" i="4"/>
  <c r="J464" i="4"/>
  <c r="I464" i="4"/>
  <c r="J463" i="4"/>
  <c r="I463" i="4"/>
  <c r="J462" i="4"/>
  <c r="I462" i="4"/>
  <c r="J461" i="4"/>
  <c r="I461" i="4"/>
  <c r="J460" i="4"/>
  <c r="I460" i="4"/>
  <c r="J459" i="4"/>
  <c r="I459" i="4"/>
  <c r="J458" i="4"/>
  <c r="I458" i="4"/>
  <c r="J457" i="4"/>
  <c r="I457" i="4"/>
  <c r="J456" i="4"/>
  <c r="I456" i="4"/>
  <c r="J455" i="4"/>
  <c r="I455" i="4"/>
  <c r="J454" i="4"/>
  <c r="I454" i="4"/>
  <c r="J453" i="4"/>
  <c r="I453" i="4"/>
  <c r="J452" i="4"/>
  <c r="I452" i="4"/>
  <c r="J451" i="4"/>
  <c r="I451" i="4"/>
  <c r="J450" i="4"/>
  <c r="I450" i="4"/>
  <c r="J449" i="4"/>
  <c r="I449" i="4"/>
  <c r="J448" i="4"/>
  <c r="I448" i="4"/>
  <c r="J447" i="4"/>
  <c r="I447" i="4"/>
  <c r="J446" i="4"/>
  <c r="I446" i="4"/>
  <c r="J445" i="4"/>
  <c r="I445" i="4"/>
  <c r="J444" i="4"/>
  <c r="I444" i="4"/>
  <c r="J443" i="4"/>
  <c r="I443" i="4"/>
  <c r="J442" i="4"/>
  <c r="I442" i="4"/>
  <c r="J441" i="4"/>
  <c r="I441" i="4"/>
  <c r="J440" i="4"/>
  <c r="I440" i="4"/>
  <c r="J439" i="4"/>
  <c r="I439" i="4"/>
  <c r="J438" i="4"/>
  <c r="I438" i="4"/>
  <c r="J437" i="4"/>
  <c r="I437" i="4"/>
  <c r="J436" i="4"/>
  <c r="I436" i="4"/>
  <c r="J435" i="4"/>
  <c r="I435" i="4"/>
  <c r="J434" i="4"/>
  <c r="I434" i="4"/>
  <c r="J433" i="4"/>
  <c r="I433" i="4"/>
  <c r="J432" i="4"/>
  <c r="I432" i="4"/>
  <c r="J431" i="4"/>
  <c r="I431" i="4"/>
  <c r="J430" i="4"/>
  <c r="I430" i="4"/>
  <c r="J429" i="4"/>
  <c r="I429" i="4"/>
  <c r="J428" i="4"/>
  <c r="I428" i="4"/>
  <c r="J427" i="4"/>
  <c r="I427" i="4"/>
  <c r="J426" i="4"/>
  <c r="I426" i="4"/>
  <c r="J425" i="4"/>
  <c r="I425" i="4"/>
  <c r="J424" i="4"/>
  <c r="I424" i="4"/>
  <c r="J423" i="4"/>
  <c r="I423" i="4"/>
  <c r="J422" i="4"/>
  <c r="I422" i="4"/>
  <c r="J421" i="4"/>
  <c r="I421" i="4"/>
  <c r="J420" i="4"/>
  <c r="I420" i="4"/>
  <c r="J419" i="4"/>
  <c r="I419" i="4"/>
  <c r="J418" i="4"/>
  <c r="I418" i="4"/>
  <c r="J417" i="4"/>
  <c r="I417" i="4"/>
  <c r="J416" i="4"/>
  <c r="I416" i="4"/>
  <c r="J415" i="4"/>
  <c r="I415" i="4"/>
  <c r="J414" i="4"/>
  <c r="I414" i="4"/>
  <c r="J413" i="4"/>
  <c r="I413" i="4"/>
  <c r="J412" i="4"/>
  <c r="I412" i="4"/>
  <c r="J411" i="4"/>
  <c r="I411" i="4"/>
  <c r="J410" i="4"/>
  <c r="I410" i="4"/>
  <c r="J409" i="4"/>
  <c r="I409" i="4"/>
  <c r="J408" i="4"/>
  <c r="I408" i="4"/>
  <c r="J407" i="4"/>
  <c r="I407" i="4"/>
  <c r="J406" i="4"/>
  <c r="I406" i="4"/>
  <c r="J405" i="4"/>
  <c r="I405" i="4"/>
  <c r="J404" i="4"/>
  <c r="I404" i="4"/>
  <c r="J403" i="4"/>
  <c r="I403" i="4"/>
  <c r="J402" i="4"/>
  <c r="I402" i="4"/>
  <c r="J401" i="4"/>
  <c r="I401" i="4"/>
  <c r="J400" i="4"/>
  <c r="I400" i="4"/>
  <c r="J399" i="4"/>
  <c r="I399" i="4"/>
  <c r="J398" i="4"/>
  <c r="I398" i="4"/>
  <c r="J397" i="4"/>
  <c r="I397" i="4"/>
  <c r="J396" i="4"/>
  <c r="I396" i="4"/>
  <c r="J395" i="4"/>
  <c r="I395" i="4"/>
  <c r="J394" i="4"/>
  <c r="I394" i="4"/>
  <c r="J393" i="4"/>
  <c r="I393" i="4"/>
  <c r="J392" i="4"/>
  <c r="I392" i="4"/>
  <c r="J391" i="4"/>
  <c r="I391" i="4"/>
  <c r="J390" i="4"/>
  <c r="I390" i="4"/>
  <c r="J389" i="4"/>
  <c r="I389" i="4"/>
  <c r="J388" i="4"/>
  <c r="I388" i="4"/>
  <c r="J387" i="4"/>
  <c r="I387" i="4"/>
  <c r="J386" i="4"/>
  <c r="I386" i="4"/>
  <c r="J385" i="4"/>
  <c r="I385" i="4"/>
  <c r="J384" i="4"/>
  <c r="I384" i="4"/>
  <c r="J383" i="4"/>
  <c r="I383" i="4"/>
  <c r="J382" i="4"/>
  <c r="I382" i="4"/>
  <c r="J381" i="4"/>
  <c r="I381" i="4"/>
  <c r="J380" i="4"/>
  <c r="I380" i="4"/>
  <c r="J379" i="4"/>
  <c r="I379" i="4"/>
  <c r="J378" i="4"/>
  <c r="I378" i="4"/>
  <c r="J377" i="4"/>
  <c r="I377" i="4"/>
  <c r="J376" i="4"/>
  <c r="I376" i="4"/>
  <c r="J375" i="4"/>
  <c r="I375" i="4"/>
  <c r="J374" i="4"/>
  <c r="I374" i="4"/>
  <c r="J373" i="4"/>
  <c r="I373" i="4"/>
  <c r="J372" i="4"/>
  <c r="I372" i="4"/>
  <c r="J371" i="4"/>
  <c r="I371" i="4"/>
  <c r="J370" i="4"/>
  <c r="I370" i="4"/>
  <c r="J369" i="4"/>
  <c r="I369" i="4"/>
  <c r="J368" i="4"/>
  <c r="I368" i="4"/>
  <c r="J367" i="4"/>
  <c r="I367" i="4"/>
  <c r="J366" i="4"/>
  <c r="I366" i="4"/>
  <c r="J365" i="4"/>
  <c r="I365" i="4"/>
  <c r="J364" i="4"/>
  <c r="I364" i="4"/>
  <c r="J363" i="4"/>
  <c r="I363" i="4"/>
  <c r="J362" i="4"/>
  <c r="I362" i="4"/>
  <c r="J361" i="4"/>
  <c r="I361" i="4"/>
  <c r="J360" i="4"/>
  <c r="I360" i="4"/>
  <c r="J359" i="4"/>
  <c r="I359" i="4"/>
  <c r="J358" i="4"/>
  <c r="I358" i="4"/>
  <c r="J357" i="4"/>
  <c r="I357" i="4"/>
  <c r="J356" i="4"/>
  <c r="I356" i="4"/>
  <c r="J355" i="4"/>
  <c r="I355" i="4"/>
  <c r="J354" i="4"/>
  <c r="I354" i="4"/>
  <c r="J353" i="4"/>
  <c r="I353" i="4"/>
  <c r="J352" i="4"/>
  <c r="I352" i="4"/>
  <c r="J351" i="4"/>
  <c r="I351" i="4"/>
  <c r="J350" i="4"/>
  <c r="I350" i="4"/>
  <c r="J349" i="4"/>
  <c r="I349" i="4"/>
  <c r="J348" i="4"/>
  <c r="I348" i="4"/>
  <c r="J347" i="4"/>
  <c r="I347" i="4"/>
  <c r="J346" i="4"/>
  <c r="I346" i="4"/>
  <c r="J345" i="4"/>
  <c r="I345" i="4"/>
  <c r="J344" i="4"/>
  <c r="I344" i="4"/>
  <c r="J343" i="4"/>
  <c r="I343" i="4"/>
  <c r="J342" i="4"/>
  <c r="I342" i="4"/>
  <c r="J341" i="4"/>
  <c r="I341" i="4"/>
  <c r="J340" i="4"/>
  <c r="I340" i="4"/>
  <c r="J339" i="4"/>
  <c r="I339" i="4"/>
  <c r="J338" i="4"/>
  <c r="I338" i="4"/>
  <c r="J337" i="4"/>
  <c r="I337" i="4"/>
  <c r="J336" i="4"/>
  <c r="I336" i="4"/>
  <c r="J335" i="4"/>
  <c r="I335" i="4"/>
  <c r="J334" i="4"/>
  <c r="I334" i="4"/>
  <c r="J333" i="4"/>
  <c r="I333" i="4"/>
  <c r="J332" i="4"/>
  <c r="I332" i="4"/>
  <c r="J331" i="4"/>
  <c r="I331" i="4"/>
  <c r="J330" i="4"/>
  <c r="I330" i="4"/>
  <c r="J329" i="4"/>
  <c r="I329" i="4"/>
  <c r="J328" i="4"/>
  <c r="I328" i="4"/>
  <c r="J327" i="4"/>
  <c r="I327" i="4"/>
  <c r="J326" i="4"/>
  <c r="I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8" i="4"/>
  <c r="I318" i="4"/>
  <c r="J317" i="4"/>
  <c r="I317" i="4"/>
  <c r="J316" i="4"/>
  <c r="I316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J309" i="4"/>
  <c r="I309" i="4"/>
  <c r="J308" i="4"/>
  <c r="I308" i="4"/>
  <c r="J307" i="4"/>
  <c r="I307" i="4"/>
  <c r="J306" i="4"/>
  <c r="I306" i="4"/>
  <c r="J305" i="4"/>
  <c r="I305" i="4"/>
  <c r="J304" i="4"/>
  <c r="I304" i="4"/>
  <c r="J303" i="4"/>
  <c r="I303" i="4"/>
  <c r="J302" i="4"/>
  <c r="I302" i="4"/>
  <c r="J301" i="4"/>
  <c r="I301" i="4"/>
  <c r="J300" i="4"/>
  <c r="I300" i="4"/>
  <c r="J299" i="4"/>
  <c r="I299" i="4"/>
  <c r="J298" i="4"/>
  <c r="I298" i="4"/>
  <c r="J297" i="4"/>
  <c r="I297" i="4"/>
  <c r="J296" i="4"/>
  <c r="I296" i="4"/>
  <c r="J295" i="4"/>
  <c r="I295" i="4"/>
  <c r="J294" i="4"/>
  <c r="I294" i="4"/>
  <c r="J293" i="4"/>
  <c r="I293" i="4"/>
  <c r="J292" i="4"/>
  <c r="I292" i="4"/>
  <c r="J291" i="4"/>
  <c r="I291" i="4"/>
  <c r="J290" i="4"/>
  <c r="I290" i="4"/>
  <c r="J289" i="4"/>
  <c r="I289" i="4"/>
  <c r="J288" i="4"/>
  <c r="I288" i="4"/>
  <c r="J287" i="4"/>
  <c r="I287" i="4"/>
  <c r="J286" i="4"/>
  <c r="I286" i="4"/>
  <c r="J285" i="4"/>
  <c r="I285" i="4"/>
  <c r="J284" i="4"/>
  <c r="I284" i="4"/>
  <c r="J283" i="4"/>
  <c r="I283" i="4"/>
  <c r="J282" i="4"/>
  <c r="I282" i="4"/>
  <c r="J281" i="4"/>
  <c r="I281" i="4"/>
  <c r="J280" i="4"/>
  <c r="I280" i="4"/>
  <c r="J279" i="4"/>
  <c r="I279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J271" i="4"/>
  <c r="I271" i="4"/>
  <c r="J270" i="4"/>
  <c r="I270" i="4"/>
  <c r="J269" i="4"/>
  <c r="I269" i="4"/>
  <c r="J268" i="4"/>
  <c r="I268" i="4"/>
  <c r="J267" i="4"/>
  <c r="I267" i="4"/>
  <c r="J266" i="4"/>
  <c r="I266" i="4"/>
  <c r="J265" i="4"/>
  <c r="I265" i="4"/>
  <c r="J264" i="4"/>
  <c r="I264" i="4"/>
  <c r="J263" i="4"/>
  <c r="I263" i="4"/>
  <c r="J262" i="4"/>
  <c r="I262" i="4"/>
  <c r="J261" i="4"/>
  <c r="I261" i="4"/>
  <c r="J260" i="4"/>
  <c r="I260" i="4"/>
  <c r="J259" i="4"/>
  <c r="I259" i="4"/>
  <c r="J258" i="4"/>
  <c r="I258" i="4"/>
  <c r="J257" i="4"/>
  <c r="I257" i="4"/>
  <c r="J256" i="4"/>
  <c r="I256" i="4"/>
  <c r="J255" i="4"/>
  <c r="I255" i="4"/>
  <c r="J254" i="4"/>
  <c r="I254" i="4"/>
  <c r="J253" i="4"/>
  <c r="I253" i="4"/>
  <c r="J252" i="4"/>
  <c r="I252" i="4"/>
  <c r="J251" i="4"/>
  <c r="I251" i="4"/>
  <c r="J250" i="4"/>
  <c r="I250" i="4"/>
  <c r="J249" i="4"/>
  <c r="I249" i="4"/>
  <c r="J248" i="4"/>
  <c r="I248" i="4"/>
  <c r="J247" i="4"/>
  <c r="I247" i="4"/>
  <c r="J246" i="4"/>
  <c r="I246" i="4"/>
  <c r="J245" i="4"/>
  <c r="I245" i="4"/>
  <c r="J244" i="4"/>
  <c r="I244" i="4"/>
  <c r="J243" i="4"/>
  <c r="I243" i="4"/>
  <c r="J242" i="4"/>
  <c r="I242" i="4"/>
  <c r="J241" i="4"/>
  <c r="I241" i="4"/>
  <c r="J240" i="4"/>
  <c r="I240" i="4"/>
  <c r="J239" i="4"/>
  <c r="I239" i="4"/>
  <c r="J238" i="4"/>
  <c r="I238" i="4"/>
  <c r="J237" i="4"/>
  <c r="I237" i="4"/>
  <c r="J236" i="4"/>
  <c r="I236" i="4"/>
  <c r="J235" i="4"/>
  <c r="I235" i="4"/>
  <c r="J234" i="4"/>
  <c r="I234" i="4"/>
  <c r="J233" i="4"/>
  <c r="I233" i="4"/>
  <c r="J232" i="4"/>
  <c r="I232" i="4"/>
  <c r="J231" i="4"/>
  <c r="I231" i="4"/>
  <c r="J230" i="4"/>
  <c r="I230" i="4"/>
  <c r="J229" i="4"/>
  <c r="I229" i="4"/>
  <c r="J228" i="4"/>
  <c r="I228" i="4"/>
  <c r="J227" i="4"/>
  <c r="I227" i="4"/>
  <c r="J226" i="4"/>
  <c r="I226" i="4"/>
  <c r="J225" i="4"/>
  <c r="I225" i="4"/>
  <c r="J224" i="4"/>
  <c r="I224" i="4"/>
  <c r="J223" i="4"/>
  <c r="I223" i="4"/>
  <c r="J222" i="4"/>
  <c r="I222" i="4"/>
  <c r="J221" i="4"/>
  <c r="I221" i="4"/>
  <c r="J220" i="4"/>
  <c r="I220" i="4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9" i="3"/>
  <c r="J8" i="3"/>
  <c r="J7" i="3"/>
  <c r="J6" i="3"/>
  <c r="J5" i="3"/>
  <c r="G475" i="6" l="1"/>
  <c r="F475" i="6"/>
  <c r="C475" i="6"/>
  <c r="E475" i="6"/>
  <c r="D475" i="6"/>
  <c r="J475" i="6"/>
  <c r="I475" i="6"/>
  <c r="H475" i="6"/>
  <c r="K475" i="6"/>
  <c r="B475" i="6"/>
  <c r="A48" i="6"/>
  <c r="J48" i="5"/>
  <c r="H48" i="5"/>
  <c r="K48" i="5"/>
  <c r="I48" i="5"/>
  <c r="G48" i="5"/>
  <c r="C48" i="5"/>
  <c r="B48" i="5"/>
  <c r="K129" i="5"/>
  <c r="G129" i="5"/>
  <c r="D129" i="5"/>
  <c r="J129" i="5"/>
  <c r="I129" i="5"/>
  <c r="H129" i="5"/>
  <c r="E129" i="5"/>
  <c r="F129" i="5"/>
  <c r="A226" i="6"/>
  <c r="J226" i="5"/>
  <c r="E226" i="5"/>
  <c r="H226" i="5"/>
  <c r="G226" i="5"/>
  <c r="F226" i="5"/>
  <c r="A81" i="6"/>
  <c r="K81" i="5"/>
  <c r="G81" i="5"/>
  <c r="J81" i="5"/>
  <c r="I81" i="5"/>
  <c r="D81" i="5"/>
  <c r="C81" i="5"/>
  <c r="B226" i="5"/>
  <c r="C226" i="5"/>
  <c r="F34" i="5"/>
  <c r="E81" i="5"/>
  <c r="B90" i="5"/>
  <c r="E110" i="5"/>
  <c r="D136" i="5"/>
  <c r="B65" i="5"/>
  <c r="K56" i="6"/>
  <c r="I56" i="6"/>
  <c r="F56" i="6"/>
  <c r="G56" i="6"/>
  <c r="E56" i="6"/>
  <c r="J56" i="6"/>
  <c r="B56" i="6"/>
  <c r="H56" i="6"/>
  <c r="C56" i="6"/>
  <c r="J132" i="5"/>
  <c r="A59" i="6"/>
  <c r="I59" i="5"/>
  <c r="K59" i="5"/>
  <c r="J59" i="5"/>
  <c r="H59" i="5"/>
  <c r="G59" i="5"/>
  <c r="C59" i="5"/>
  <c r="B59" i="5"/>
  <c r="A353" i="6"/>
  <c r="K353" i="5"/>
  <c r="J353" i="5"/>
  <c r="I353" i="5"/>
  <c r="F353" i="5"/>
  <c r="H353" i="5"/>
  <c r="G353" i="5"/>
  <c r="E353" i="5"/>
  <c r="D353" i="5"/>
  <c r="B353" i="5"/>
  <c r="C4" i="5"/>
  <c r="B37" i="5"/>
  <c r="D59" i="5"/>
  <c r="C84" i="5"/>
  <c r="A46" i="6"/>
  <c r="H46" i="5"/>
  <c r="G46" i="5"/>
  <c r="D46" i="5"/>
  <c r="C46" i="5"/>
  <c r="B46" i="5"/>
  <c r="F46" i="5"/>
  <c r="K46" i="5"/>
  <c r="J46" i="5"/>
  <c r="I46" i="5"/>
  <c r="E46" i="5"/>
  <c r="H65" i="5"/>
  <c r="G4" i="5"/>
  <c r="F19" i="5"/>
  <c r="I65" i="5"/>
  <c r="A180" i="6"/>
  <c r="I180" i="5"/>
  <c r="H180" i="5"/>
  <c r="G180" i="5"/>
  <c r="K180" i="5"/>
  <c r="D180" i="5"/>
  <c r="C180" i="5"/>
  <c r="B180" i="5"/>
  <c r="A288" i="6"/>
  <c r="C288" i="5"/>
  <c r="B288" i="5"/>
  <c r="F288" i="5"/>
  <c r="K288" i="5"/>
  <c r="G288" i="5"/>
  <c r="E288" i="5"/>
  <c r="D288" i="5"/>
  <c r="A499" i="6"/>
  <c r="K499" i="5"/>
  <c r="H499" i="5"/>
  <c r="G499" i="5"/>
  <c r="E499" i="5"/>
  <c r="D499" i="5"/>
  <c r="J499" i="5"/>
  <c r="C499" i="5"/>
  <c r="I499" i="5"/>
  <c r="F499" i="5"/>
  <c r="H4" i="5"/>
  <c r="G19" i="5"/>
  <c r="A85" i="6"/>
  <c r="K85" i="5"/>
  <c r="F85" i="5"/>
  <c r="E85" i="5"/>
  <c r="G85" i="5"/>
  <c r="J85" i="5"/>
  <c r="H85" i="5"/>
  <c r="D85" i="5"/>
  <c r="I85" i="5"/>
  <c r="C85" i="5"/>
  <c r="B85" i="5"/>
  <c r="E180" i="5"/>
  <c r="H288" i="5"/>
  <c r="B499" i="5"/>
  <c r="A16" i="6"/>
  <c r="I16" i="5"/>
  <c r="H16" i="5"/>
  <c r="F16" i="5"/>
  <c r="J16" i="5"/>
  <c r="G16" i="5"/>
  <c r="E26" i="6"/>
  <c r="C26" i="6"/>
  <c r="I26" i="6"/>
  <c r="H26" i="6"/>
  <c r="K26" i="6"/>
  <c r="J26" i="6"/>
  <c r="G26" i="6"/>
  <c r="D26" i="6"/>
  <c r="A460" i="6"/>
  <c r="K460" i="5"/>
  <c r="H460" i="5"/>
  <c r="J460" i="5"/>
  <c r="I460" i="5"/>
  <c r="G460" i="5"/>
  <c r="F460" i="5"/>
  <c r="E460" i="5"/>
  <c r="D460" i="5"/>
  <c r="C460" i="5"/>
  <c r="B460" i="5"/>
  <c r="J93" i="6"/>
  <c r="G93" i="6"/>
  <c r="K93" i="6"/>
  <c r="H93" i="6"/>
  <c r="F93" i="6"/>
  <c r="E93" i="6"/>
  <c r="D93" i="6"/>
  <c r="C93" i="6"/>
  <c r="B93" i="6"/>
  <c r="I93" i="6"/>
  <c r="D226" i="5"/>
  <c r="J34" i="5"/>
  <c r="K226" i="5"/>
  <c r="B265" i="5"/>
  <c r="K90" i="5"/>
  <c r="J90" i="5"/>
  <c r="H90" i="5"/>
  <c r="D90" i="5"/>
  <c r="I90" i="5"/>
  <c r="G90" i="5"/>
  <c r="K136" i="5"/>
  <c r="G136" i="5"/>
  <c r="F136" i="5"/>
  <c r="E136" i="5"/>
  <c r="A136" i="6"/>
  <c r="J136" i="5"/>
  <c r="C136" i="5"/>
  <c r="B136" i="5"/>
  <c r="A156" i="6"/>
  <c r="K156" i="5"/>
  <c r="J156" i="5"/>
  <c r="H156" i="5"/>
  <c r="D156" i="5"/>
  <c r="G156" i="5"/>
  <c r="I156" i="5"/>
  <c r="F156" i="5"/>
  <c r="A369" i="6"/>
  <c r="J369" i="5"/>
  <c r="F369" i="5"/>
  <c r="K369" i="5"/>
  <c r="I369" i="5"/>
  <c r="G369" i="5"/>
  <c r="B369" i="5"/>
  <c r="H369" i="5"/>
  <c r="C369" i="5"/>
  <c r="C90" i="5"/>
  <c r="D369" i="5"/>
  <c r="I136" i="5"/>
  <c r="E369" i="5"/>
  <c r="F90" i="5"/>
  <c r="D56" i="6"/>
  <c r="B4" i="5"/>
  <c r="A37" i="6"/>
  <c r="K37" i="5"/>
  <c r="J37" i="5"/>
  <c r="I37" i="5"/>
  <c r="E37" i="5"/>
  <c r="D37" i="5"/>
  <c r="A412" i="6"/>
  <c r="K412" i="5"/>
  <c r="H412" i="5"/>
  <c r="B412" i="5"/>
  <c r="G412" i="5"/>
  <c r="F412" i="5"/>
  <c r="E412" i="5"/>
  <c r="D412" i="5"/>
  <c r="J412" i="5"/>
  <c r="I412" i="5"/>
  <c r="B19" i="5"/>
  <c r="A213" i="6"/>
  <c r="K213" i="5"/>
  <c r="I213" i="5"/>
  <c r="E213" i="5"/>
  <c r="D213" i="5"/>
  <c r="C213" i="5"/>
  <c r="B213" i="5"/>
  <c r="H213" i="5"/>
  <c r="F213" i="5"/>
  <c r="J213" i="5"/>
  <c r="G213" i="5"/>
  <c r="C412" i="5"/>
  <c r="C37" i="5"/>
  <c r="A413" i="6"/>
  <c r="B413" i="5"/>
  <c r="J413" i="5"/>
  <c r="I413" i="5"/>
  <c r="H413" i="5"/>
  <c r="G413" i="5"/>
  <c r="E413" i="5"/>
  <c r="F413" i="5"/>
  <c r="K413" i="5"/>
  <c r="D413" i="5"/>
  <c r="C413" i="5"/>
  <c r="K9" i="5"/>
  <c r="J9" i="5"/>
  <c r="A9" i="6"/>
  <c r="H9" i="5"/>
  <c r="B24" i="7" s="1"/>
  <c r="G9" i="5"/>
  <c r="C9" i="5"/>
  <c r="B9" i="5"/>
  <c r="F37" i="5"/>
  <c r="F59" i="5"/>
  <c r="A98" i="6"/>
  <c r="J98" i="5"/>
  <c r="I98" i="5"/>
  <c r="G98" i="5"/>
  <c r="F98" i="5"/>
  <c r="A153" i="6"/>
  <c r="K153" i="5"/>
  <c r="G153" i="5"/>
  <c r="J153" i="5"/>
  <c r="E153" i="5"/>
  <c r="D153" i="5"/>
  <c r="C153" i="5"/>
  <c r="E10" i="6"/>
  <c r="F10" i="6"/>
  <c r="D10" i="6"/>
  <c r="E9" i="5"/>
  <c r="I9" i="5" s="1"/>
  <c r="H37" i="5"/>
  <c r="C98" i="5"/>
  <c r="F153" i="5"/>
  <c r="F180" i="5"/>
  <c r="I288" i="5"/>
  <c r="A387" i="6"/>
  <c r="H387" i="5"/>
  <c r="E387" i="5"/>
  <c r="D387" i="5"/>
  <c r="I387" i="5"/>
  <c r="G387" i="5"/>
  <c r="F387" i="5"/>
  <c r="C387" i="5"/>
  <c r="K387" i="5"/>
  <c r="B387" i="5"/>
  <c r="A129" i="6"/>
  <c r="F331" i="6"/>
  <c r="C331" i="6"/>
  <c r="I331" i="6"/>
  <c r="D331" i="6"/>
  <c r="B331" i="6"/>
  <c r="K331" i="6"/>
  <c r="J331" i="6"/>
  <c r="H331" i="6"/>
  <c r="G331" i="6"/>
  <c r="A53" i="6"/>
  <c r="K53" i="5"/>
  <c r="J53" i="5"/>
  <c r="I53" i="5"/>
  <c r="G53" i="5"/>
  <c r="C53" i="5"/>
  <c r="F53" i="5"/>
  <c r="E53" i="5"/>
  <c r="A120" i="6"/>
  <c r="J120" i="5"/>
  <c r="F120" i="5"/>
  <c r="E120" i="5"/>
  <c r="K120" i="5"/>
  <c r="G120" i="5"/>
  <c r="I120" i="5"/>
  <c r="H120" i="5"/>
  <c r="D120" i="5"/>
  <c r="D48" i="5"/>
  <c r="B129" i="5"/>
  <c r="A215" i="6"/>
  <c r="K215" i="5"/>
  <c r="I215" i="5"/>
  <c r="H215" i="5"/>
  <c r="G215" i="5"/>
  <c r="F215" i="5"/>
  <c r="D215" i="5"/>
  <c r="E215" i="5"/>
  <c r="J215" i="5"/>
  <c r="K7" i="5"/>
  <c r="A7" i="6"/>
  <c r="I7" i="5"/>
  <c r="D7" i="5"/>
  <c r="F7" i="5"/>
  <c r="E7" i="5"/>
  <c r="H7" i="5"/>
  <c r="G7" i="5"/>
  <c r="C7" i="5"/>
  <c r="J7" i="5" s="1"/>
  <c r="E48" i="5"/>
  <c r="C129" i="5"/>
  <c r="A17" i="6"/>
  <c r="I17" i="5"/>
  <c r="H17" i="5"/>
  <c r="F17" i="5"/>
  <c r="E17" i="5"/>
  <c r="K17" i="5"/>
  <c r="J17" i="5"/>
  <c r="G17" i="5"/>
  <c r="D17" i="5"/>
  <c r="C17" i="5"/>
  <c r="B110" i="5"/>
  <c r="B17" i="5"/>
  <c r="A439" i="6"/>
  <c r="D439" i="5"/>
  <c r="B439" i="5"/>
  <c r="C439" i="5"/>
  <c r="I439" i="5"/>
  <c r="H439" i="5"/>
  <c r="G439" i="5"/>
  <c r="F439" i="5"/>
  <c r="K439" i="5"/>
  <c r="A65" i="6"/>
  <c r="J65" i="5"/>
  <c r="K65" i="5"/>
  <c r="F65" i="5"/>
  <c r="E65" i="5"/>
  <c r="A186" i="6"/>
  <c r="G186" i="5"/>
  <c r="F186" i="5"/>
  <c r="E186" i="5"/>
  <c r="D186" i="5"/>
  <c r="B186" i="5"/>
  <c r="H186" i="5"/>
  <c r="C186" i="5"/>
  <c r="K186" i="5"/>
  <c r="J186" i="5"/>
  <c r="I186" i="5"/>
  <c r="E156" i="5"/>
  <c r="J439" i="5"/>
  <c r="A4" i="6"/>
  <c r="J4" i="5"/>
  <c r="E4" i="5"/>
  <c r="D4" i="5"/>
  <c r="D65" i="5"/>
  <c r="A84" i="6"/>
  <c r="G84" i="5"/>
  <c r="F84" i="5"/>
  <c r="E84" i="5"/>
  <c r="D84" i="5"/>
  <c r="B84" i="5"/>
  <c r="I84" i="5"/>
  <c r="H84" i="5"/>
  <c r="C311" i="5"/>
  <c r="K494" i="5"/>
  <c r="J494" i="5"/>
  <c r="I494" i="5"/>
  <c r="H494" i="5"/>
  <c r="A494" i="6"/>
  <c r="F494" i="5"/>
  <c r="B494" i="5"/>
  <c r="G494" i="5"/>
  <c r="E494" i="5"/>
  <c r="C494" i="5"/>
  <c r="D494" i="5"/>
  <c r="A90" i="6"/>
  <c r="C353" i="5"/>
  <c r="E59" i="5"/>
  <c r="J84" i="5"/>
  <c r="A147" i="6"/>
  <c r="E147" i="5"/>
  <c r="D147" i="5"/>
  <c r="C147" i="5"/>
  <c r="B147" i="5"/>
  <c r="J147" i="5"/>
  <c r="I147" i="5"/>
  <c r="H147" i="5"/>
  <c r="G147" i="5"/>
  <c r="F147" i="5"/>
  <c r="K147" i="5"/>
  <c r="J10" i="3"/>
  <c r="F9" i="5"/>
  <c r="J21" i="6"/>
  <c r="G21" i="6"/>
  <c r="H21" i="6"/>
  <c r="F21" i="6"/>
  <c r="B21" i="6"/>
  <c r="C21" i="6"/>
  <c r="I21" i="6"/>
  <c r="E21" i="6"/>
  <c r="K21" i="6"/>
  <c r="D98" i="5"/>
  <c r="H153" i="5"/>
  <c r="J180" i="5"/>
  <c r="J288" i="5"/>
  <c r="A342" i="6"/>
  <c r="F342" i="5"/>
  <c r="E342" i="5"/>
  <c r="D342" i="5"/>
  <c r="C342" i="5"/>
  <c r="I342" i="5"/>
  <c r="K342" i="5"/>
  <c r="J342" i="5"/>
  <c r="B279" i="6"/>
  <c r="K279" i="6"/>
  <c r="J279" i="6"/>
  <c r="I279" i="6"/>
  <c r="H279" i="6"/>
  <c r="G279" i="6"/>
  <c r="F279" i="6"/>
  <c r="E279" i="6"/>
  <c r="D279" i="6"/>
  <c r="C279" i="6"/>
  <c r="A194" i="6"/>
  <c r="E194" i="5"/>
  <c r="D194" i="5"/>
  <c r="B194" i="5"/>
  <c r="G194" i="5"/>
  <c r="I194" i="5"/>
  <c r="H194" i="5"/>
  <c r="F194" i="5"/>
  <c r="C194" i="5"/>
  <c r="J194" i="5"/>
  <c r="K194" i="5"/>
  <c r="K475" i="5"/>
  <c r="G475" i="5"/>
  <c r="D475" i="5"/>
  <c r="C475" i="5"/>
  <c r="J475" i="5"/>
  <c r="E475" i="5"/>
  <c r="F475" i="5"/>
  <c r="I475" i="5"/>
  <c r="H475" i="5"/>
  <c r="B475" i="5"/>
  <c r="B16" i="5"/>
  <c r="C16" i="5"/>
  <c r="A34" i="6"/>
  <c r="E34" i="5"/>
  <c r="D34" i="5"/>
  <c r="C34" i="5"/>
  <c r="B34" i="5"/>
  <c r="H34" i="5"/>
  <c r="G34" i="5"/>
  <c r="D53" i="5"/>
  <c r="B81" i="5"/>
  <c r="C120" i="5"/>
  <c r="F48" i="5"/>
  <c r="E50" i="6"/>
  <c r="C50" i="6"/>
  <c r="I50" i="6"/>
  <c r="H50" i="6"/>
  <c r="G50" i="6"/>
  <c r="F50" i="6"/>
  <c r="B50" i="6"/>
  <c r="K50" i="6"/>
  <c r="J50" i="6"/>
  <c r="D50" i="6"/>
  <c r="I34" i="5"/>
  <c r="F81" i="5"/>
  <c r="A265" i="6"/>
  <c r="K265" i="5"/>
  <c r="J265" i="5"/>
  <c r="H265" i="5"/>
  <c r="I265" i="5"/>
  <c r="G265" i="5"/>
  <c r="C265" i="5"/>
  <c r="E265" i="5"/>
  <c r="F265" i="5"/>
  <c r="A380" i="6"/>
  <c r="I380" i="5"/>
  <c r="F380" i="5"/>
  <c r="E380" i="5"/>
  <c r="H380" i="5"/>
  <c r="K380" i="5"/>
  <c r="J380" i="5"/>
  <c r="C380" i="5"/>
  <c r="G380" i="5"/>
  <c r="D380" i="5"/>
  <c r="K101" i="6"/>
  <c r="D101" i="6"/>
  <c r="C101" i="6"/>
  <c r="I101" i="6"/>
  <c r="H101" i="6"/>
  <c r="F101" i="6"/>
  <c r="G101" i="6"/>
  <c r="J101" i="6"/>
  <c r="K16" i="5"/>
  <c r="H81" i="5"/>
  <c r="I110" i="5"/>
  <c r="H110" i="5"/>
  <c r="G110" i="5"/>
  <c r="F110" i="5"/>
  <c r="D110" i="5"/>
  <c r="A110" i="6"/>
  <c r="K110" i="5"/>
  <c r="B156" i="5"/>
  <c r="J36" i="6"/>
  <c r="K36" i="6"/>
  <c r="G36" i="6"/>
  <c r="F36" i="6"/>
  <c r="I36" i="6"/>
  <c r="H36" i="6"/>
  <c r="E36" i="6"/>
  <c r="C36" i="6"/>
  <c r="D36" i="6"/>
  <c r="B36" i="6"/>
  <c r="J110" i="5"/>
  <c r="C156" i="5"/>
  <c r="E439" i="5"/>
  <c r="G132" i="5"/>
  <c r="F132" i="5"/>
  <c r="E132" i="5"/>
  <c r="D132" i="5"/>
  <c r="B132" i="5"/>
  <c r="A132" i="6"/>
  <c r="C132" i="5"/>
  <c r="I132" i="5"/>
  <c r="H132" i="5"/>
  <c r="B26" i="6"/>
  <c r="A19" i="6"/>
  <c r="K19" i="5"/>
  <c r="H19" i="5"/>
  <c r="I19" i="5"/>
  <c r="J19" i="5"/>
  <c r="D19" i="5"/>
  <c r="C19" i="5"/>
  <c r="A79" i="6"/>
  <c r="K79" i="5"/>
  <c r="I79" i="5"/>
  <c r="E79" i="5"/>
  <c r="J79" i="5"/>
  <c r="F79" i="5"/>
  <c r="H79" i="5"/>
  <c r="C79" i="5"/>
  <c r="D79" i="5"/>
  <c r="G79" i="5"/>
  <c r="B79" i="5"/>
  <c r="A163" i="6"/>
  <c r="J163" i="5"/>
  <c r="I163" i="5"/>
  <c r="G163" i="5"/>
  <c r="H163" i="5"/>
  <c r="K163" i="5"/>
  <c r="C163" i="5"/>
  <c r="B163" i="5"/>
  <c r="F163" i="5"/>
  <c r="E163" i="5"/>
  <c r="K239" i="5"/>
  <c r="J239" i="5"/>
  <c r="A239" i="6"/>
  <c r="H239" i="5"/>
  <c r="D239" i="5"/>
  <c r="E239" i="5"/>
  <c r="C239" i="5"/>
  <c r="I239" i="5"/>
  <c r="G239" i="5"/>
  <c r="B239" i="5"/>
  <c r="F239" i="5"/>
  <c r="I6" i="5"/>
  <c r="A70" i="6"/>
  <c r="H70" i="5"/>
  <c r="K70" i="5"/>
  <c r="F70" i="5"/>
  <c r="E70" i="5"/>
  <c r="H98" i="5"/>
  <c r="D163" i="5"/>
  <c r="A408" i="6"/>
  <c r="I408" i="5"/>
  <c r="G408" i="5"/>
  <c r="D408" i="5"/>
  <c r="H408" i="5"/>
  <c r="F408" i="5"/>
  <c r="E408" i="5"/>
  <c r="C408" i="5"/>
  <c r="B70" i="5"/>
  <c r="K98" i="5"/>
  <c r="A336" i="6"/>
  <c r="I336" i="5"/>
  <c r="K336" i="5"/>
  <c r="H336" i="5"/>
  <c r="G336" i="5"/>
  <c r="F336" i="5"/>
  <c r="E336" i="5"/>
  <c r="H342" i="5"/>
  <c r="B408" i="5"/>
  <c r="A344" i="6"/>
  <c r="J344" i="5"/>
  <c r="I344" i="5"/>
  <c r="H344" i="5"/>
  <c r="G344" i="5"/>
  <c r="K344" i="5"/>
  <c r="F344" i="5"/>
  <c r="E344" i="5"/>
  <c r="C344" i="5"/>
  <c r="B344" i="5"/>
  <c r="D344" i="5"/>
  <c r="B215" i="5"/>
  <c r="C165" i="6"/>
  <c r="K165" i="6"/>
  <c r="J165" i="6"/>
  <c r="I165" i="6"/>
  <c r="H165" i="6"/>
  <c r="G165" i="6"/>
  <c r="D165" i="6"/>
  <c r="B165" i="6"/>
  <c r="F165" i="6"/>
  <c r="D16" i="5"/>
  <c r="H53" i="5"/>
  <c r="I226" i="5"/>
  <c r="A405" i="6"/>
  <c r="I405" i="5"/>
  <c r="K405" i="5"/>
  <c r="H405" i="5"/>
  <c r="D405" i="5"/>
  <c r="C405" i="5"/>
  <c r="J405" i="5"/>
  <c r="F405" i="5"/>
  <c r="G405" i="5"/>
  <c r="E405" i="5"/>
  <c r="E101" i="6"/>
  <c r="C65" i="5"/>
  <c r="A311" i="6"/>
  <c r="K311" i="5"/>
  <c r="J311" i="5"/>
  <c r="I311" i="5"/>
  <c r="H311" i="5"/>
  <c r="B311" i="5"/>
  <c r="E311" i="5"/>
  <c r="G311" i="5"/>
  <c r="F311" i="5"/>
  <c r="F26" i="6"/>
  <c r="K101" i="5"/>
  <c r="J101" i="5"/>
  <c r="I101" i="5"/>
  <c r="G101" i="5"/>
  <c r="C101" i="5"/>
  <c r="E101" i="5"/>
  <c r="D101" i="5"/>
  <c r="F101" i="5"/>
  <c r="B101" i="5"/>
  <c r="H73" i="5"/>
  <c r="G73" i="5"/>
  <c r="F73" i="5"/>
  <c r="E73" i="5"/>
  <c r="C73" i="5"/>
  <c r="A73" i="6"/>
  <c r="K73" i="5"/>
  <c r="I73" i="5"/>
  <c r="J73" i="5"/>
  <c r="A107" i="6"/>
  <c r="I107" i="5"/>
  <c r="H107" i="5"/>
  <c r="J107" i="5"/>
  <c r="K107" i="5"/>
  <c r="D107" i="5"/>
  <c r="C107" i="5"/>
  <c r="A114" i="6"/>
  <c r="K114" i="5"/>
  <c r="J114" i="5"/>
  <c r="H114" i="5"/>
  <c r="D114" i="5"/>
  <c r="F114" i="5"/>
  <c r="E114" i="5"/>
  <c r="G114" i="5"/>
  <c r="C114" i="5"/>
  <c r="A307" i="6"/>
  <c r="E307" i="5"/>
  <c r="D307" i="5"/>
  <c r="C307" i="5"/>
  <c r="B307" i="5"/>
  <c r="K307" i="5"/>
  <c r="G307" i="5"/>
  <c r="I307" i="5"/>
  <c r="H307" i="5"/>
  <c r="K97" i="6"/>
  <c r="C97" i="6"/>
  <c r="H97" i="6"/>
  <c r="G97" i="6"/>
  <c r="F97" i="6"/>
  <c r="E97" i="6"/>
  <c r="B97" i="6"/>
  <c r="J97" i="6"/>
  <c r="I62" i="5"/>
  <c r="H62" i="5"/>
  <c r="A62" i="6"/>
  <c r="G62" i="5"/>
  <c r="F62" i="5"/>
  <c r="D62" i="5"/>
  <c r="C62" i="5"/>
  <c r="B62" i="5"/>
  <c r="B73" i="5"/>
  <c r="B107" i="5"/>
  <c r="B114" i="5"/>
  <c r="F307" i="5"/>
  <c r="K408" i="5"/>
  <c r="D97" i="6"/>
  <c r="A160" i="6"/>
  <c r="J160" i="5"/>
  <c r="F160" i="5"/>
  <c r="E160" i="5"/>
  <c r="A200" i="6"/>
  <c r="K200" i="5"/>
  <c r="J200" i="5"/>
  <c r="H200" i="5"/>
  <c r="E200" i="5"/>
  <c r="C200" i="5"/>
  <c r="A223" i="6"/>
  <c r="E223" i="5"/>
  <c r="D223" i="5"/>
  <c r="C223" i="5"/>
  <c r="B223" i="5"/>
  <c r="H223" i="5"/>
  <c r="A388" i="6"/>
  <c r="K388" i="5"/>
  <c r="H388" i="5"/>
  <c r="E388" i="5"/>
  <c r="D388" i="5"/>
  <c r="C388" i="5"/>
  <c r="B388" i="5"/>
  <c r="J388" i="5"/>
  <c r="G388" i="5"/>
  <c r="F388" i="5"/>
  <c r="A440" i="6"/>
  <c r="K440" i="5"/>
  <c r="G440" i="5"/>
  <c r="J440" i="5"/>
  <c r="I440" i="5"/>
  <c r="H440" i="5"/>
  <c r="F440" i="5"/>
  <c r="D440" i="5"/>
  <c r="E440" i="5"/>
  <c r="C440" i="5"/>
  <c r="K82" i="6"/>
  <c r="H82" i="6"/>
  <c r="J82" i="6"/>
  <c r="I82" i="6"/>
  <c r="G82" i="6"/>
  <c r="B82" i="6"/>
  <c r="E119" i="6"/>
  <c r="I119" i="6"/>
  <c r="K119" i="6"/>
  <c r="J119" i="6"/>
  <c r="G119" i="6"/>
  <c r="B119" i="6"/>
  <c r="F119" i="6"/>
  <c r="B272" i="6"/>
  <c r="D272" i="6"/>
  <c r="E272" i="6"/>
  <c r="C272" i="6"/>
  <c r="I272" i="6"/>
  <c r="G272" i="6"/>
  <c r="J272" i="6"/>
  <c r="F272" i="6"/>
  <c r="G14" i="5"/>
  <c r="F14" i="5"/>
  <c r="D14" i="5"/>
  <c r="J29" i="5"/>
  <c r="I29" i="5"/>
  <c r="G29" i="5"/>
  <c r="C29" i="5"/>
  <c r="A40" i="6"/>
  <c r="K40" i="5"/>
  <c r="J40" i="5"/>
  <c r="I40" i="5"/>
  <c r="H40" i="5"/>
  <c r="F40" i="5"/>
  <c r="B40" i="5"/>
  <c r="J68" i="5"/>
  <c r="F68" i="5"/>
  <c r="A68" i="6"/>
  <c r="A111" i="6"/>
  <c r="H111" i="5"/>
  <c r="G111" i="5"/>
  <c r="A146" i="6"/>
  <c r="E146" i="5"/>
  <c r="D146" i="5"/>
  <c r="B146" i="5"/>
  <c r="K146" i="5"/>
  <c r="G146" i="5"/>
  <c r="H146" i="5"/>
  <c r="F146" i="5"/>
  <c r="A150" i="6"/>
  <c r="I150" i="5"/>
  <c r="H150" i="5"/>
  <c r="F150" i="5"/>
  <c r="J150" i="5"/>
  <c r="B160" i="5"/>
  <c r="K197" i="5"/>
  <c r="A197" i="6"/>
  <c r="D197" i="5"/>
  <c r="B200" i="5"/>
  <c r="C216" i="5"/>
  <c r="B216" i="5"/>
  <c r="E216" i="5"/>
  <c r="D216" i="5"/>
  <c r="F223" i="5"/>
  <c r="A242" i="6"/>
  <c r="F242" i="5"/>
  <c r="E242" i="5"/>
  <c r="C242" i="5"/>
  <c r="K242" i="5"/>
  <c r="J242" i="5"/>
  <c r="I242" i="5"/>
  <c r="H242" i="5"/>
  <c r="D242" i="5"/>
  <c r="G242" i="5"/>
  <c r="B242" i="5"/>
  <c r="F246" i="6"/>
  <c r="B246" i="6"/>
  <c r="J246" i="6"/>
  <c r="I246" i="6"/>
  <c r="H246" i="6"/>
  <c r="G246" i="6"/>
  <c r="E246" i="6"/>
  <c r="D246" i="6"/>
  <c r="C246" i="6"/>
  <c r="K246" i="6"/>
  <c r="A277" i="6"/>
  <c r="K277" i="5"/>
  <c r="D277" i="5"/>
  <c r="C277" i="5"/>
  <c r="A297" i="6"/>
  <c r="J297" i="5"/>
  <c r="I297" i="5"/>
  <c r="G297" i="5"/>
  <c r="H297" i="5"/>
  <c r="C297" i="5"/>
  <c r="E297" i="5"/>
  <c r="D297" i="5"/>
  <c r="I388" i="5"/>
  <c r="B440" i="5"/>
  <c r="B11" i="6"/>
  <c r="H11" i="6"/>
  <c r="G11" i="6"/>
  <c r="F11" i="6"/>
  <c r="E11" i="6"/>
  <c r="D11" i="6"/>
  <c r="K11" i="6" s="1"/>
  <c r="C11" i="6"/>
  <c r="I11" i="6" s="1"/>
  <c r="J67" i="6"/>
  <c r="H67" i="6"/>
  <c r="E67" i="6"/>
  <c r="K67" i="6"/>
  <c r="I67" i="6"/>
  <c r="G67" i="6"/>
  <c r="F67" i="6"/>
  <c r="C67" i="6"/>
  <c r="D67" i="6"/>
  <c r="C82" i="6"/>
  <c r="C119" i="6"/>
  <c r="B152" i="6"/>
  <c r="D152" i="6"/>
  <c r="J152" i="6"/>
  <c r="E152" i="6"/>
  <c r="C152" i="6"/>
  <c r="G152" i="6"/>
  <c r="F152" i="6"/>
  <c r="I152" i="6"/>
  <c r="H272" i="6"/>
  <c r="B14" i="5"/>
  <c r="A24" i="6"/>
  <c r="J24" i="5"/>
  <c r="H26" i="5"/>
  <c r="B29" i="5"/>
  <c r="C40" i="5"/>
  <c r="K50" i="5"/>
  <c r="B68" i="5"/>
  <c r="H87" i="5"/>
  <c r="B111" i="5"/>
  <c r="C146" i="5"/>
  <c r="B150" i="5"/>
  <c r="C160" i="5"/>
  <c r="A164" i="6"/>
  <c r="H164" i="5"/>
  <c r="G164" i="5"/>
  <c r="F164" i="5"/>
  <c r="E164" i="5"/>
  <c r="C164" i="5"/>
  <c r="I164" i="5"/>
  <c r="D164" i="5"/>
  <c r="A170" i="6"/>
  <c r="E170" i="5"/>
  <c r="D170" i="5"/>
  <c r="B170" i="5"/>
  <c r="J170" i="5"/>
  <c r="B197" i="5"/>
  <c r="D200" i="5"/>
  <c r="F216" i="5"/>
  <c r="G223" i="5"/>
  <c r="A243" i="6"/>
  <c r="H243" i="5"/>
  <c r="A252" i="6"/>
  <c r="J252" i="5"/>
  <c r="G252" i="5"/>
  <c r="K252" i="5"/>
  <c r="H252" i="5"/>
  <c r="C252" i="5"/>
  <c r="F252" i="5"/>
  <c r="B277" i="5"/>
  <c r="A284" i="6"/>
  <c r="I284" i="5"/>
  <c r="H284" i="5"/>
  <c r="G284" i="5"/>
  <c r="F284" i="5"/>
  <c r="D284" i="5"/>
  <c r="K284" i="5"/>
  <c r="B297" i="5"/>
  <c r="A358" i="6"/>
  <c r="K358" i="5"/>
  <c r="G358" i="5"/>
  <c r="J358" i="5"/>
  <c r="I358" i="5"/>
  <c r="H358" i="5"/>
  <c r="F358" i="5"/>
  <c r="E358" i="5"/>
  <c r="D358" i="5"/>
  <c r="A427" i="6"/>
  <c r="K427" i="5"/>
  <c r="J427" i="5"/>
  <c r="I427" i="5"/>
  <c r="G427" i="5"/>
  <c r="C427" i="5"/>
  <c r="H427" i="5"/>
  <c r="F427" i="5"/>
  <c r="A487" i="6"/>
  <c r="D487" i="5"/>
  <c r="B487" i="5"/>
  <c r="J487" i="5"/>
  <c r="I487" i="5"/>
  <c r="K487" i="5"/>
  <c r="H487" i="5"/>
  <c r="G487" i="5"/>
  <c r="F487" i="5"/>
  <c r="C487" i="5"/>
  <c r="B67" i="6"/>
  <c r="D82" i="6"/>
  <c r="D119" i="6"/>
  <c r="H152" i="6"/>
  <c r="A210" i="6"/>
  <c r="H254" i="6"/>
  <c r="K254" i="6"/>
  <c r="J254" i="6"/>
  <c r="F254" i="6"/>
  <c r="E254" i="6"/>
  <c r="D254" i="6"/>
  <c r="I254" i="6"/>
  <c r="G254" i="6"/>
  <c r="C254" i="6"/>
  <c r="B254" i="6"/>
  <c r="K272" i="6"/>
  <c r="G52" i="6"/>
  <c r="E52" i="6"/>
  <c r="B52" i="6"/>
  <c r="K52" i="6"/>
  <c r="J52" i="6"/>
  <c r="I52" i="6"/>
  <c r="H52" i="6"/>
  <c r="D52" i="6"/>
  <c r="B22" i="5"/>
  <c r="A178" i="6"/>
  <c r="J178" i="5"/>
  <c r="K178" i="5"/>
  <c r="F178" i="5"/>
  <c r="H178" i="5"/>
  <c r="C178" i="5"/>
  <c r="B178" i="5"/>
  <c r="B224" i="5"/>
  <c r="E281" i="5"/>
  <c r="C329" i="5"/>
  <c r="J45" i="6"/>
  <c r="G45" i="6"/>
  <c r="K45" i="6"/>
  <c r="I45" i="6"/>
  <c r="H45" i="6"/>
  <c r="F45" i="6"/>
  <c r="B45" i="6"/>
  <c r="K14" i="5"/>
  <c r="K66" i="5"/>
  <c r="J66" i="5"/>
  <c r="A66" i="6"/>
  <c r="H66" i="5"/>
  <c r="D66" i="5"/>
  <c r="E82" i="5"/>
  <c r="D82" i="5"/>
  <c r="C82" i="5"/>
  <c r="B82" i="5"/>
  <c r="I82" i="5"/>
  <c r="H82" i="5"/>
  <c r="H161" i="5"/>
  <c r="A161" i="6"/>
  <c r="G161" i="5"/>
  <c r="E161" i="5"/>
  <c r="K161" i="5"/>
  <c r="I161" i="5"/>
  <c r="B161" i="5"/>
  <c r="D161" i="5"/>
  <c r="C161" i="5"/>
  <c r="I197" i="5"/>
  <c r="D289" i="5"/>
  <c r="B323" i="5"/>
  <c r="C45" i="6"/>
  <c r="K133" i="6"/>
  <c r="J133" i="6"/>
  <c r="D133" i="6"/>
  <c r="B133" i="6"/>
  <c r="I133" i="6"/>
  <c r="H133" i="6"/>
  <c r="G133" i="6"/>
  <c r="F133" i="6"/>
  <c r="C133" i="6"/>
  <c r="E133" i="6"/>
  <c r="F15" i="6"/>
  <c r="D15" i="6"/>
  <c r="K15" i="6"/>
  <c r="G15" i="6"/>
  <c r="J15" i="6"/>
  <c r="H15" i="6"/>
  <c r="D41" i="5"/>
  <c r="B66" i="5"/>
  <c r="A74" i="6"/>
  <c r="H74" i="5"/>
  <c r="G74" i="5"/>
  <c r="F82" i="5"/>
  <c r="C108" i="5"/>
  <c r="C154" i="5"/>
  <c r="E178" i="5"/>
  <c r="A204" i="6"/>
  <c r="G204" i="5"/>
  <c r="F204" i="5"/>
  <c r="C204" i="5"/>
  <c r="I329" i="5"/>
  <c r="A491" i="6"/>
  <c r="H491" i="5"/>
  <c r="F491" i="5"/>
  <c r="C491" i="5"/>
  <c r="K491" i="5"/>
  <c r="J491" i="5"/>
  <c r="I491" i="5"/>
  <c r="G491" i="5"/>
  <c r="D491" i="5"/>
  <c r="E491" i="5"/>
  <c r="D45" i="6"/>
  <c r="K102" i="6"/>
  <c r="I102" i="6"/>
  <c r="F102" i="6"/>
  <c r="J102" i="6"/>
  <c r="E102" i="6"/>
  <c r="D102" i="6"/>
  <c r="H102" i="6"/>
  <c r="C102" i="6"/>
  <c r="B102" i="6"/>
  <c r="H157" i="6"/>
  <c r="G157" i="6"/>
  <c r="I157" i="6"/>
  <c r="E157" i="6"/>
  <c r="B157" i="6"/>
  <c r="D157" i="6"/>
  <c r="J157" i="6"/>
  <c r="F157" i="6"/>
  <c r="A44" i="6"/>
  <c r="J44" i="5"/>
  <c r="F44" i="5"/>
  <c r="A105" i="6"/>
  <c r="K105" i="5"/>
  <c r="G105" i="5"/>
  <c r="I105" i="5"/>
  <c r="A127" i="6"/>
  <c r="K127" i="5"/>
  <c r="I127" i="5"/>
  <c r="E127" i="5"/>
  <c r="H127" i="5"/>
  <c r="G127" i="5"/>
  <c r="G143" i="5"/>
  <c r="J161" i="5"/>
  <c r="G178" i="5"/>
  <c r="B188" i="5"/>
  <c r="K209" i="5"/>
  <c r="G289" i="5"/>
  <c r="A390" i="6"/>
  <c r="J390" i="5"/>
  <c r="B390" i="5"/>
  <c r="F390" i="5"/>
  <c r="E390" i="5"/>
  <c r="D390" i="5"/>
  <c r="C390" i="5"/>
  <c r="H390" i="5"/>
  <c r="I390" i="5"/>
  <c r="J462" i="5"/>
  <c r="A462" i="6"/>
  <c r="E462" i="5"/>
  <c r="D462" i="5"/>
  <c r="C462" i="5"/>
  <c r="B462" i="5"/>
  <c r="A14" i="6"/>
  <c r="G102" i="6"/>
  <c r="K282" i="6"/>
  <c r="G282" i="6"/>
  <c r="F282" i="6"/>
  <c r="J282" i="6"/>
  <c r="I282" i="6"/>
  <c r="H282" i="6"/>
  <c r="E282" i="6"/>
  <c r="D282" i="6"/>
  <c r="C282" i="6"/>
  <c r="C15" i="5"/>
  <c r="F22" i="5"/>
  <c r="B44" i="5"/>
  <c r="C60" i="5"/>
  <c r="E66" i="5"/>
  <c r="C74" i="5"/>
  <c r="B105" i="5"/>
  <c r="A130" i="6"/>
  <c r="E130" i="5"/>
  <c r="D130" i="5"/>
  <c r="C130" i="5"/>
  <c r="B130" i="5"/>
  <c r="G130" i="5"/>
  <c r="F130" i="5"/>
  <c r="H143" i="5"/>
  <c r="D171" i="5"/>
  <c r="I178" i="5"/>
  <c r="D188" i="5"/>
  <c r="F217" i="5"/>
  <c r="G390" i="5"/>
  <c r="B86" i="6"/>
  <c r="J310" i="6"/>
  <c r="E10" i="5"/>
  <c r="H25" i="5"/>
  <c r="F25" i="5"/>
  <c r="A25" i="6"/>
  <c r="E25" i="5"/>
  <c r="C25" i="5"/>
  <c r="G35" i="5"/>
  <c r="C57" i="5"/>
  <c r="D89" i="5"/>
  <c r="E151" i="5"/>
  <c r="A195" i="6"/>
  <c r="J195" i="5"/>
  <c r="F195" i="5"/>
  <c r="I195" i="5"/>
  <c r="D195" i="5"/>
  <c r="C195" i="5"/>
  <c r="B221" i="5"/>
  <c r="C267" i="5"/>
  <c r="E395" i="5"/>
  <c r="G86" i="6"/>
  <c r="K113" i="6"/>
  <c r="F113" i="6"/>
  <c r="E113" i="6"/>
  <c r="C113" i="6"/>
  <c r="B113" i="6"/>
  <c r="G113" i="6"/>
  <c r="J113" i="6"/>
  <c r="D113" i="6"/>
  <c r="A124" i="6"/>
  <c r="E5" i="5"/>
  <c r="D5" i="6" s="1"/>
  <c r="F10" i="5"/>
  <c r="K12" i="5"/>
  <c r="E15" i="5"/>
  <c r="D20" i="5"/>
  <c r="H22" i="5"/>
  <c r="B25" i="5"/>
  <c r="H35" i="5"/>
  <c r="K38" i="5"/>
  <c r="H41" i="5"/>
  <c r="D44" i="5"/>
  <c r="I49" i="5"/>
  <c r="C52" i="5"/>
  <c r="D57" i="5"/>
  <c r="I60" i="5"/>
  <c r="H63" i="5"/>
  <c r="G66" i="5"/>
  <c r="E74" i="5"/>
  <c r="A83" i="6"/>
  <c r="I83" i="5"/>
  <c r="I86" i="5"/>
  <c r="H86" i="5"/>
  <c r="G86" i="5"/>
  <c r="F86" i="5"/>
  <c r="D86" i="5"/>
  <c r="E89" i="5"/>
  <c r="A92" i="6"/>
  <c r="J92" i="5"/>
  <c r="F92" i="5"/>
  <c r="E94" i="5"/>
  <c r="H100" i="6"/>
  <c r="F100" i="6"/>
  <c r="C100" i="6"/>
  <c r="K100" i="6"/>
  <c r="J100" i="6"/>
  <c r="I100" i="6"/>
  <c r="G100" i="6"/>
  <c r="B100" i="6"/>
  <c r="D105" i="5"/>
  <c r="B109" i="5"/>
  <c r="D121" i="5"/>
  <c r="F124" i="5"/>
  <c r="D127" i="5"/>
  <c r="I130" i="5"/>
  <c r="B141" i="5"/>
  <c r="C144" i="5"/>
  <c r="B144" i="5"/>
  <c r="A144" i="6"/>
  <c r="K144" i="5"/>
  <c r="J144" i="5"/>
  <c r="I144" i="5"/>
  <c r="H144" i="5"/>
  <c r="F144" i="5"/>
  <c r="E144" i="5"/>
  <c r="C148" i="5"/>
  <c r="I151" i="5"/>
  <c r="D158" i="5"/>
  <c r="J165" i="5"/>
  <c r="E168" i="5"/>
  <c r="G171" i="5"/>
  <c r="H175" i="5"/>
  <c r="H188" i="5"/>
  <c r="I191" i="5"/>
  <c r="B195" i="5"/>
  <c r="H204" i="5"/>
  <c r="D210" i="5"/>
  <c r="H217" i="5"/>
  <c r="C221" i="5"/>
  <c r="F230" i="5"/>
  <c r="C244" i="5"/>
  <c r="D267" i="5"/>
  <c r="D272" i="5"/>
  <c r="D286" i="5"/>
  <c r="B299" i="5"/>
  <c r="B302" i="5"/>
  <c r="B374" i="5"/>
  <c r="H377" i="5"/>
  <c r="D391" i="5"/>
  <c r="B391" i="5"/>
  <c r="A391" i="6"/>
  <c r="I391" i="5"/>
  <c r="H391" i="5"/>
  <c r="G391" i="5"/>
  <c r="F391" i="5"/>
  <c r="C391" i="5"/>
  <c r="C399" i="5"/>
  <c r="A445" i="6"/>
  <c r="J445" i="5"/>
  <c r="H445" i="5"/>
  <c r="E445" i="5"/>
  <c r="G445" i="5"/>
  <c r="D445" i="5"/>
  <c r="I445" i="5"/>
  <c r="A453" i="6"/>
  <c r="H453" i="5"/>
  <c r="E453" i="5"/>
  <c r="D453" i="5"/>
  <c r="J453" i="5"/>
  <c r="I453" i="5"/>
  <c r="G453" i="5"/>
  <c r="F453" i="5"/>
  <c r="B453" i="5"/>
  <c r="C453" i="5"/>
  <c r="H462" i="5"/>
  <c r="C15" i="6"/>
  <c r="H86" i="6"/>
  <c r="H113" i="6"/>
  <c r="A202" i="6"/>
  <c r="I314" i="6"/>
  <c r="H314" i="6"/>
  <c r="G314" i="6"/>
  <c r="D314" i="6"/>
  <c r="C314" i="6"/>
  <c r="B314" i="6"/>
  <c r="K314" i="6"/>
  <c r="J314" i="6"/>
  <c r="F314" i="6"/>
  <c r="E314" i="6"/>
  <c r="F5" i="5"/>
  <c r="B13" i="6"/>
  <c r="C13" i="6"/>
  <c r="E13" i="6"/>
  <c r="F15" i="5"/>
  <c r="E20" i="5"/>
  <c r="I22" i="5"/>
  <c r="D25" i="5"/>
  <c r="G28" i="6"/>
  <c r="E28" i="6"/>
  <c r="B28" i="6"/>
  <c r="J28" i="6"/>
  <c r="I28" i="6"/>
  <c r="H28" i="6"/>
  <c r="F28" i="6"/>
  <c r="C28" i="6"/>
  <c r="D28" i="6"/>
  <c r="K33" i="5"/>
  <c r="A33" i="6"/>
  <c r="G33" i="5"/>
  <c r="J35" i="5"/>
  <c r="F39" i="6"/>
  <c r="D39" i="6"/>
  <c r="G39" i="6"/>
  <c r="B39" i="6"/>
  <c r="J39" i="6"/>
  <c r="C39" i="6"/>
  <c r="E39" i="6"/>
  <c r="I41" i="5"/>
  <c r="E44" i="5"/>
  <c r="J49" i="5"/>
  <c r="D52" i="5"/>
  <c r="I66" i="5"/>
  <c r="F74" i="5"/>
  <c r="B83" i="5"/>
  <c r="B86" i="5"/>
  <c r="F89" i="5"/>
  <c r="B92" i="5"/>
  <c r="F94" i="5"/>
  <c r="H97" i="5"/>
  <c r="G97" i="5"/>
  <c r="F97" i="5"/>
  <c r="E97" i="5"/>
  <c r="C97" i="5"/>
  <c r="B100" i="5"/>
  <c r="E105" i="5"/>
  <c r="B113" i="5"/>
  <c r="A116" i="6"/>
  <c r="J116" i="5"/>
  <c r="F116" i="5"/>
  <c r="D116" i="5"/>
  <c r="G124" i="5"/>
  <c r="F127" i="5"/>
  <c r="J130" i="5"/>
  <c r="A134" i="6"/>
  <c r="K134" i="5"/>
  <c r="J134" i="5"/>
  <c r="I134" i="5"/>
  <c r="H134" i="5"/>
  <c r="F134" i="5"/>
  <c r="B134" i="5"/>
  <c r="D134" i="5"/>
  <c r="C134" i="5"/>
  <c r="C141" i="5"/>
  <c r="D144" i="5"/>
  <c r="E148" i="5"/>
  <c r="K151" i="5"/>
  <c r="F168" i="5"/>
  <c r="J175" i="5"/>
  <c r="J191" i="5"/>
  <c r="E195" i="5"/>
  <c r="I204" i="5"/>
  <c r="A207" i="6"/>
  <c r="F207" i="5"/>
  <c r="E207" i="5"/>
  <c r="C207" i="5"/>
  <c r="H207" i="5"/>
  <c r="K207" i="5"/>
  <c r="J217" i="5"/>
  <c r="F221" i="5"/>
  <c r="I230" i="5"/>
  <c r="A256" i="6"/>
  <c r="K256" i="5"/>
  <c r="E256" i="5"/>
  <c r="D256" i="5"/>
  <c r="B256" i="5"/>
  <c r="J256" i="5"/>
  <c r="G256" i="5"/>
  <c r="E267" i="5"/>
  <c r="G272" i="5"/>
  <c r="E286" i="5"/>
  <c r="C299" i="5"/>
  <c r="A318" i="6"/>
  <c r="K318" i="5"/>
  <c r="J318" i="5"/>
  <c r="I318" i="5"/>
  <c r="H318" i="5"/>
  <c r="D318" i="5"/>
  <c r="C318" i="5"/>
  <c r="B318" i="5"/>
  <c r="D374" i="5"/>
  <c r="I377" i="5"/>
  <c r="J383" i="6"/>
  <c r="G383" i="6"/>
  <c r="B383" i="6"/>
  <c r="K383" i="6"/>
  <c r="I383" i="6"/>
  <c r="D383" i="6"/>
  <c r="C383" i="6"/>
  <c r="F383" i="6"/>
  <c r="E383" i="6"/>
  <c r="H383" i="6"/>
  <c r="E391" i="5"/>
  <c r="B445" i="5"/>
  <c r="K453" i="5"/>
  <c r="I462" i="5"/>
  <c r="E15" i="6"/>
  <c r="H39" i="6"/>
  <c r="I113" i="6"/>
  <c r="K245" i="6"/>
  <c r="J245" i="6"/>
  <c r="G245" i="6"/>
  <c r="H245" i="6"/>
  <c r="D245" i="6"/>
  <c r="I245" i="6"/>
  <c r="A266" i="6"/>
  <c r="B22" i="6"/>
  <c r="K22" i="6"/>
  <c r="J22" i="6"/>
  <c r="H22" i="6"/>
  <c r="D22" i="6"/>
  <c r="G22" i="6"/>
  <c r="F22" i="6"/>
  <c r="A63" i="6"/>
  <c r="K63" i="5"/>
  <c r="A88" i="6"/>
  <c r="K88" i="5"/>
  <c r="J88" i="5"/>
  <c r="I88" i="5"/>
  <c r="H88" i="5"/>
  <c r="F88" i="5"/>
  <c r="B88" i="5"/>
  <c r="D88" i="5"/>
  <c r="C88" i="5"/>
  <c r="I160" i="5"/>
  <c r="A224" i="6"/>
  <c r="K224" i="5"/>
  <c r="J224" i="5"/>
  <c r="H224" i="5"/>
  <c r="E224" i="5"/>
  <c r="D224" i="5"/>
  <c r="A308" i="6"/>
  <c r="E308" i="5"/>
  <c r="F308" i="5"/>
  <c r="C308" i="5"/>
  <c r="B308" i="5"/>
  <c r="J308" i="5"/>
  <c r="A398" i="6"/>
  <c r="H398" i="5"/>
  <c r="G398" i="5"/>
  <c r="F398" i="5"/>
  <c r="E398" i="5"/>
  <c r="K398" i="5"/>
  <c r="C398" i="5"/>
  <c r="K216" i="6"/>
  <c r="J216" i="6"/>
  <c r="I216" i="6"/>
  <c r="B216" i="6"/>
  <c r="H216" i="6"/>
  <c r="G216" i="6"/>
  <c r="F216" i="6"/>
  <c r="E216" i="6"/>
  <c r="D216" i="6"/>
  <c r="C35" i="5"/>
  <c r="J111" i="5"/>
  <c r="C165" i="5"/>
  <c r="A220" i="6"/>
  <c r="G220" i="5"/>
  <c r="F220" i="5"/>
  <c r="D220" i="5"/>
  <c r="K220" i="5"/>
  <c r="J220" i="5"/>
  <c r="I220" i="5"/>
  <c r="H220" i="5"/>
  <c r="C220" i="5"/>
  <c r="J266" i="5"/>
  <c r="J277" i="5"/>
  <c r="G308" i="5"/>
  <c r="D398" i="5"/>
  <c r="A29" i="6"/>
  <c r="F52" i="6"/>
  <c r="C216" i="6"/>
  <c r="G12" i="5"/>
  <c r="D35" i="5"/>
  <c r="B175" i="5"/>
  <c r="J197" i="5"/>
  <c r="F224" i="5"/>
  <c r="B15" i="5"/>
  <c r="A60" i="6"/>
  <c r="G60" i="5"/>
  <c r="F60" i="5"/>
  <c r="E60" i="5"/>
  <c r="D60" i="5"/>
  <c r="B60" i="5"/>
  <c r="C66" i="5"/>
  <c r="B74" i="5"/>
  <c r="B94" i="5"/>
  <c r="H108" i="5"/>
  <c r="B124" i="5"/>
  <c r="E165" i="5"/>
  <c r="C175" i="5"/>
  <c r="B204" i="5"/>
  <c r="D217" i="5"/>
  <c r="I76" i="6"/>
  <c r="C94" i="5"/>
  <c r="E77" i="6"/>
  <c r="D77" i="6"/>
  <c r="C77" i="6"/>
  <c r="B77" i="6"/>
  <c r="K77" i="6"/>
  <c r="J77" i="6"/>
  <c r="H77" i="6"/>
  <c r="G77" i="6"/>
  <c r="F77" i="6"/>
  <c r="K157" i="6"/>
  <c r="C20" i="5"/>
  <c r="D49" i="5"/>
  <c r="C105" i="5"/>
  <c r="C127" i="5"/>
  <c r="E171" i="5"/>
  <c r="H191" i="5"/>
  <c r="E204" i="5"/>
  <c r="A244" i="6"/>
  <c r="B244" i="5"/>
  <c r="I244" i="5"/>
  <c r="H244" i="5"/>
  <c r="F244" i="5"/>
  <c r="E244" i="5"/>
  <c r="J244" i="5"/>
  <c r="G244" i="5"/>
  <c r="A302" i="6"/>
  <c r="K302" i="5"/>
  <c r="J302" i="5"/>
  <c r="I302" i="5"/>
  <c r="H302" i="5"/>
  <c r="F302" i="5"/>
  <c r="A449" i="6"/>
  <c r="I449" i="5"/>
  <c r="J449" i="5"/>
  <c r="H449" i="5"/>
  <c r="G449" i="5"/>
  <c r="F449" i="5"/>
  <c r="K449" i="5"/>
  <c r="E449" i="5"/>
  <c r="D449" i="5"/>
  <c r="B449" i="5"/>
  <c r="C449" i="5"/>
  <c r="G462" i="5"/>
  <c r="G25" i="5"/>
  <c r="G44" i="5"/>
  <c r="K55" i="5"/>
  <c r="I55" i="5"/>
  <c r="E55" i="5"/>
  <c r="A55" i="6"/>
  <c r="K60" i="5"/>
  <c r="G89" i="5"/>
  <c r="F105" i="5"/>
  <c r="K130" i="5"/>
  <c r="D141" i="5"/>
  <c r="G221" i="5"/>
  <c r="A234" i="6"/>
  <c r="J234" i="5"/>
  <c r="F234" i="5"/>
  <c r="E234" i="5"/>
  <c r="G267" i="5"/>
  <c r="H272" i="5"/>
  <c r="D299" i="5"/>
  <c r="J331" i="5"/>
  <c r="F331" i="5"/>
  <c r="I331" i="5"/>
  <c r="H331" i="5"/>
  <c r="G331" i="5"/>
  <c r="E331" i="5"/>
  <c r="C331" i="5"/>
  <c r="B331" i="5"/>
  <c r="E374" i="5"/>
  <c r="F8" i="6"/>
  <c r="H8" i="6"/>
  <c r="G8" i="6"/>
  <c r="E8" i="6"/>
  <c r="C8" i="6"/>
  <c r="I8" i="6" s="1"/>
  <c r="D8" i="6"/>
  <c r="K32" i="6"/>
  <c r="I32" i="6"/>
  <c r="F32" i="6"/>
  <c r="G32" i="6"/>
  <c r="H32" i="6"/>
  <c r="H15" i="5"/>
  <c r="K22" i="5"/>
  <c r="B55" i="5"/>
  <c r="E86" i="5"/>
  <c r="I94" i="5"/>
  <c r="B103" i="5"/>
  <c r="B128" i="6"/>
  <c r="C128" i="6"/>
  <c r="J128" i="6"/>
  <c r="I128" i="6"/>
  <c r="G128" i="6"/>
  <c r="E128" i="6"/>
  <c r="F128" i="6"/>
  <c r="D128" i="6"/>
  <c r="K148" i="5"/>
  <c r="D192" i="5"/>
  <c r="H195" i="5"/>
  <c r="K204" i="5"/>
  <c r="B234" i="5"/>
  <c r="B237" i="5"/>
  <c r="H267" i="5"/>
  <c r="I286" i="5"/>
  <c r="E302" i="5"/>
  <c r="D331" i="5"/>
  <c r="A386" i="6"/>
  <c r="K386" i="5"/>
  <c r="I386" i="5"/>
  <c r="J386" i="5"/>
  <c r="H386" i="5"/>
  <c r="G386" i="5"/>
  <c r="K391" i="5"/>
  <c r="A430" i="6"/>
  <c r="G430" i="5"/>
  <c r="E430" i="5"/>
  <c r="B430" i="5"/>
  <c r="K430" i="5"/>
  <c r="J430" i="5"/>
  <c r="I430" i="5"/>
  <c r="D430" i="5"/>
  <c r="F445" i="5"/>
  <c r="A497" i="6"/>
  <c r="I497" i="5"/>
  <c r="G497" i="5"/>
  <c r="D497" i="5"/>
  <c r="C497" i="5"/>
  <c r="J497" i="5"/>
  <c r="B497" i="5"/>
  <c r="E497" i="5"/>
  <c r="H497" i="5"/>
  <c r="F497" i="5"/>
  <c r="B8" i="6"/>
  <c r="K8" i="6" s="1"/>
  <c r="B32" i="6"/>
  <c r="B87" i="6"/>
  <c r="K225" i="6"/>
  <c r="J225" i="6"/>
  <c r="I225" i="6"/>
  <c r="F225" i="6"/>
  <c r="H225" i="6"/>
  <c r="D225" i="6"/>
  <c r="C225" i="6"/>
  <c r="A12" i="6"/>
  <c r="E12" i="5"/>
  <c r="D12" i="5"/>
  <c r="B12" i="5"/>
  <c r="A35" i="6"/>
  <c r="I35" i="5"/>
  <c r="A143" i="6"/>
  <c r="K143" i="5"/>
  <c r="J143" i="5"/>
  <c r="D143" i="5"/>
  <c r="C143" i="5"/>
  <c r="K165" i="5"/>
  <c r="I165" i="5"/>
  <c r="F165" i="5"/>
  <c r="A281" i="6"/>
  <c r="C281" i="5"/>
  <c r="B281" i="5"/>
  <c r="K281" i="5"/>
  <c r="J281" i="5"/>
  <c r="H281" i="5"/>
  <c r="D281" i="5"/>
  <c r="F281" i="5"/>
  <c r="A351" i="6"/>
  <c r="J351" i="5"/>
  <c r="I351" i="5"/>
  <c r="H351" i="5"/>
  <c r="G351" i="5"/>
  <c r="K351" i="5"/>
  <c r="F351" i="5"/>
  <c r="D351" i="5"/>
  <c r="E351" i="5"/>
  <c r="C12" i="5"/>
  <c r="I12" i="5" s="1"/>
  <c r="E88" i="5"/>
  <c r="B143" i="5"/>
  <c r="A154" i="6"/>
  <c r="J154" i="5"/>
  <c r="I154" i="5"/>
  <c r="H154" i="5"/>
  <c r="G154" i="5"/>
  <c r="F154" i="5"/>
  <c r="D154" i="5"/>
  <c r="K154" i="5"/>
  <c r="E154" i="5"/>
  <c r="K160" i="5"/>
  <c r="C209" i="5"/>
  <c r="A285" i="6"/>
  <c r="G285" i="5"/>
  <c r="F285" i="5"/>
  <c r="D285" i="5"/>
  <c r="I285" i="5"/>
  <c r="H285" i="5"/>
  <c r="C285" i="5"/>
  <c r="A355" i="6"/>
  <c r="J355" i="5"/>
  <c r="F355" i="5"/>
  <c r="H355" i="5"/>
  <c r="C355" i="5"/>
  <c r="B355" i="5"/>
  <c r="H394" i="5"/>
  <c r="C52" i="6"/>
  <c r="C41" i="5"/>
  <c r="C63" i="5"/>
  <c r="G88" i="5"/>
  <c r="A175" i="6"/>
  <c r="I175" i="5"/>
  <c r="E175" i="5"/>
  <c r="D175" i="5"/>
  <c r="D209" i="5"/>
  <c r="C224" i="5"/>
  <c r="G281" i="5"/>
  <c r="D355" i="5"/>
  <c r="D22" i="5"/>
  <c r="H89" i="6"/>
  <c r="F89" i="6"/>
  <c r="C89" i="6"/>
  <c r="D89" i="6"/>
  <c r="J89" i="6"/>
  <c r="I89" i="6"/>
  <c r="G89" i="6"/>
  <c r="E89" i="6"/>
  <c r="B89" i="6"/>
  <c r="K124" i="5"/>
  <c r="J124" i="5"/>
  <c r="C124" i="5"/>
  <c r="B151" i="5"/>
  <c r="C323" i="5"/>
  <c r="C10" i="5"/>
  <c r="B10" i="6" s="1"/>
  <c r="B10" i="5"/>
  <c r="A20" i="6"/>
  <c r="J20" i="5"/>
  <c r="E41" i="5"/>
  <c r="A57" i="6"/>
  <c r="K57" i="5"/>
  <c r="G57" i="5"/>
  <c r="J285" i="5"/>
  <c r="B491" i="5"/>
  <c r="E22" i="6"/>
  <c r="E45" i="6"/>
  <c r="D10" i="5"/>
  <c r="I10" i="5" s="1"/>
  <c r="F63" i="5"/>
  <c r="A121" i="6"/>
  <c r="H121" i="5"/>
  <c r="G121" i="5"/>
  <c r="F121" i="5"/>
  <c r="E121" i="5"/>
  <c r="C121" i="5"/>
  <c r="I121" i="5"/>
  <c r="B127" i="5"/>
  <c r="A158" i="6"/>
  <c r="H158" i="5"/>
  <c r="F158" i="5"/>
  <c r="E158" i="5"/>
  <c r="B158" i="5"/>
  <c r="G165" i="5"/>
  <c r="F175" i="5"/>
  <c r="G278" i="5"/>
  <c r="K308" i="5"/>
  <c r="F462" i="5"/>
  <c r="D5" i="5"/>
  <c r="K5" i="5" s="1"/>
  <c r="D15" i="5"/>
  <c r="G22" i="5"/>
  <c r="C44" i="5"/>
  <c r="B52" i="5"/>
  <c r="H60" i="5"/>
  <c r="F66" i="5"/>
  <c r="D74" i="5"/>
  <c r="K82" i="5"/>
  <c r="D94" i="5"/>
  <c r="A109" i="6"/>
  <c r="K109" i="5"/>
  <c r="H109" i="5"/>
  <c r="G109" i="5"/>
  <c r="E124" i="5"/>
  <c r="A141" i="6"/>
  <c r="K141" i="5"/>
  <c r="I141" i="5"/>
  <c r="F141" i="5"/>
  <c r="H141" i="5"/>
  <c r="C158" i="5"/>
  <c r="G175" i="5"/>
  <c r="A230" i="6"/>
  <c r="E230" i="5"/>
  <c r="D230" i="5"/>
  <c r="C230" i="5"/>
  <c r="B230" i="5"/>
  <c r="H230" i="5"/>
  <c r="G230" i="5"/>
  <c r="F272" i="5"/>
  <c r="E272" i="5"/>
  <c r="C272" i="5"/>
  <c r="J272" i="5"/>
  <c r="B272" i="5"/>
  <c r="A299" i="6"/>
  <c r="G299" i="5"/>
  <c r="K355" i="5"/>
  <c r="C374" i="5"/>
  <c r="A374" i="6"/>
  <c r="J374" i="5"/>
  <c r="F374" i="5"/>
  <c r="K374" i="5"/>
  <c r="K390" i="5"/>
  <c r="H10" i="5"/>
  <c r="G10" i="6" s="1"/>
  <c r="K18" i="5"/>
  <c r="J18" i="5"/>
  <c r="H18" i="5"/>
  <c r="J22" i="5"/>
  <c r="K35" i="5"/>
  <c r="J41" i="5"/>
  <c r="F57" i="5"/>
  <c r="G94" i="5"/>
  <c r="D109" i="5"/>
  <c r="J127" i="5"/>
  <c r="J202" i="5"/>
  <c r="K202" i="5"/>
  <c r="C202" i="5"/>
  <c r="B202" i="5"/>
  <c r="J230" i="5"/>
  <c r="A411" i="6"/>
  <c r="J411" i="5"/>
  <c r="I411" i="5"/>
  <c r="G411" i="5"/>
  <c r="F411" i="5"/>
  <c r="C411" i="5"/>
  <c r="A454" i="6"/>
  <c r="G454" i="5"/>
  <c r="E454" i="5"/>
  <c r="B454" i="5"/>
  <c r="K454" i="5"/>
  <c r="H454" i="5"/>
  <c r="J454" i="5"/>
  <c r="G20" i="5"/>
  <c r="I25" i="5"/>
  <c r="G36" i="5"/>
  <c r="F36" i="5"/>
  <c r="E36" i="5"/>
  <c r="D36" i="5"/>
  <c r="B36" i="5"/>
  <c r="H44" i="5"/>
  <c r="F52" i="5"/>
  <c r="H57" i="5"/>
  <c r="H89" i="5"/>
  <c r="H105" i="5"/>
  <c r="D113" i="5"/>
  <c r="A122" i="6"/>
  <c r="F122" i="5"/>
  <c r="E122" i="5"/>
  <c r="A131" i="6"/>
  <c r="I131" i="5"/>
  <c r="D131" i="5"/>
  <c r="C131" i="5"/>
  <c r="A145" i="6"/>
  <c r="G145" i="5"/>
  <c r="F145" i="5"/>
  <c r="H221" i="5"/>
  <c r="G6" i="6"/>
  <c r="D6" i="6"/>
  <c r="H6" i="6"/>
  <c r="E6" i="6"/>
  <c r="C6" i="6"/>
  <c r="B6" i="6"/>
  <c r="I6" i="6" s="1"/>
  <c r="F6" i="6"/>
  <c r="K6" i="6" s="1"/>
  <c r="I15" i="5"/>
  <c r="C18" i="5"/>
  <c r="H20" i="5"/>
  <c r="J25" i="5"/>
  <c r="C36" i="5"/>
  <c r="A42" i="6"/>
  <c r="K42" i="5"/>
  <c r="J42" i="5"/>
  <c r="H42" i="5"/>
  <c r="D42" i="5"/>
  <c r="I44" i="5"/>
  <c r="B50" i="5"/>
  <c r="G52" i="5"/>
  <c r="C55" i="5"/>
  <c r="I57" i="5"/>
  <c r="A72" i="6"/>
  <c r="J72" i="5"/>
  <c r="K74" i="5"/>
  <c r="E83" i="5"/>
  <c r="J86" i="5"/>
  <c r="I89" i="5"/>
  <c r="E92" i="5"/>
  <c r="E100" i="5"/>
  <c r="J105" i="5"/>
  <c r="F109" i="5"/>
  <c r="E113" i="5"/>
  <c r="B122" i="5"/>
  <c r="A125" i="6"/>
  <c r="K125" i="5"/>
  <c r="J125" i="5"/>
  <c r="I125" i="5"/>
  <c r="G125" i="5"/>
  <c r="C125" i="5"/>
  <c r="B131" i="5"/>
  <c r="F135" i="5"/>
  <c r="A135" i="6"/>
  <c r="E135" i="5"/>
  <c r="C135" i="5"/>
  <c r="I135" i="5"/>
  <c r="G141" i="5"/>
  <c r="B145" i="5"/>
  <c r="K158" i="5"/>
  <c r="A182" i="6"/>
  <c r="K182" i="5"/>
  <c r="D182" i="5"/>
  <c r="A185" i="6"/>
  <c r="H185" i="5"/>
  <c r="G185" i="5"/>
  <c r="E185" i="5"/>
  <c r="I185" i="5"/>
  <c r="B185" i="5"/>
  <c r="K195" i="5"/>
  <c r="E202" i="5"/>
  <c r="A231" i="6"/>
  <c r="F231" i="5"/>
  <c r="E231" i="5"/>
  <c r="C231" i="5"/>
  <c r="H231" i="5"/>
  <c r="C234" i="5"/>
  <c r="K272" i="5"/>
  <c r="A291" i="6"/>
  <c r="J291" i="5"/>
  <c r="F291" i="5"/>
  <c r="F299" i="5"/>
  <c r="G302" i="5"/>
  <c r="K331" i="5"/>
  <c r="H374" i="5"/>
  <c r="B386" i="5"/>
  <c r="A392" i="6"/>
  <c r="G392" i="5"/>
  <c r="D392" i="5"/>
  <c r="C392" i="5"/>
  <c r="K392" i="5"/>
  <c r="I392" i="5"/>
  <c r="B392" i="5"/>
  <c r="F392" i="5"/>
  <c r="E392" i="5"/>
  <c r="D411" i="5"/>
  <c r="C430" i="5"/>
  <c r="K445" i="5"/>
  <c r="D454" i="5"/>
  <c r="A464" i="6"/>
  <c r="H464" i="5"/>
  <c r="K464" i="5"/>
  <c r="J464" i="5"/>
  <c r="G464" i="5"/>
  <c r="C464" i="5"/>
  <c r="E464" i="5"/>
  <c r="K497" i="5"/>
  <c r="C32" i="6"/>
  <c r="E87" i="6"/>
  <c r="K162" i="6"/>
  <c r="J162" i="6"/>
  <c r="H162" i="6"/>
  <c r="E162" i="6"/>
  <c r="D162" i="6"/>
  <c r="I162" i="6"/>
  <c r="B162" i="6"/>
  <c r="G162" i="6"/>
  <c r="F162" i="6"/>
  <c r="C162" i="6"/>
  <c r="B225" i="6"/>
  <c r="H41" i="6"/>
  <c r="F41" i="6"/>
  <c r="C41" i="6"/>
  <c r="I41" i="6"/>
  <c r="G41" i="6"/>
  <c r="K41" i="6"/>
  <c r="B41" i="6"/>
  <c r="A329" i="6"/>
  <c r="G329" i="5"/>
  <c r="F329" i="5"/>
  <c r="E329" i="5"/>
  <c r="D329" i="5"/>
  <c r="B329" i="5"/>
  <c r="B35" i="5"/>
  <c r="B41" i="5"/>
  <c r="B63" i="5"/>
  <c r="A137" i="6"/>
  <c r="H137" i="5"/>
  <c r="G137" i="5"/>
  <c r="E137" i="5"/>
  <c r="F137" i="5"/>
  <c r="D137" i="5"/>
  <c r="C137" i="5"/>
  <c r="B137" i="5"/>
  <c r="K137" i="5"/>
  <c r="B165" i="5"/>
  <c r="A249" i="6"/>
  <c r="E249" i="5"/>
  <c r="D249" i="5"/>
  <c r="B249" i="5"/>
  <c r="K249" i="5"/>
  <c r="G249" i="5"/>
  <c r="C266" i="5"/>
  <c r="B266" i="5"/>
  <c r="G266" i="5"/>
  <c r="F266" i="5"/>
  <c r="E266" i="5"/>
  <c r="D266" i="5"/>
  <c r="I266" i="5"/>
  <c r="H266" i="5"/>
  <c r="D308" i="5"/>
  <c r="B351" i="5"/>
  <c r="F12" i="5"/>
  <c r="C22" i="5"/>
  <c r="I38" i="5"/>
  <c r="H38" i="5"/>
  <c r="G38" i="5"/>
  <c r="F38" i="5"/>
  <c r="D38" i="5"/>
  <c r="A38" i="6"/>
  <c r="A217" i="6"/>
  <c r="K217" i="5"/>
  <c r="I217" i="5"/>
  <c r="E217" i="5"/>
  <c r="B217" i="5"/>
  <c r="C351" i="5"/>
  <c r="J5" i="5"/>
  <c r="G5" i="5"/>
  <c r="F5" i="6" s="1"/>
  <c r="D63" i="5"/>
  <c r="K68" i="5"/>
  <c r="A94" i="6"/>
  <c r="H94" i="5"/>
  <c r="K111" i="5"/>
  <c r="J137" i="5"/>
  <c r="F161" i="5"/>
  <c r="A171" i="6"/>
  <c r="K171" i="5"/>
  <c r="J171" i="5"/>
  <c r="I171" i="5"/>
  <c r="H171" i="5"/>
  <c r="F171" i="5"/>
  <c r="B171" i="5"/>
  <c r="K188" i="5"/>
  <c r="A188" i="6"/>
  <c r="J188" i="5"/>
  <c r="I188" i="5"/>
  <c r="G188" i="5"/>
  <c r="C188" i="5"/>
  <c r="F188" i="5"/>
  <c r="C217" i="5"/>
  <c r="F249" i="5"/>
  <c r="K278" i="5"/>
  <c r="I278" i="5"/>
  <c r="C278" i="5"/>
  <c r="B278" i="5"/>
  <c r="J278" i="5"/>
  <c r="E278" i="5"/>
  <c r="A278" i="6"/>
  <c r="D278" i="5"/>
  <c r="A395" i="6"/>
  <c r="H395" i="5"/>
  <c r="F395" i="5"/>
  <c r="C395" i="5"/>
  <c r="K395" i="5"/>
  <c r="J395" i="5"/>
  <c r="I395" i="5"/>
  <c r="G395" i="5"/>
  <c r="G5" i="6"/>
  <c r="K310" i="6"/>
  <c r="H310" i="6"/>
  <c r="G310" i="6"/>
  <c r="F310" i="6"/>
  <c r="D310" i="6"/>
  <c r="E310" i="6"/>
  <c r="C310" i="6"/>
  <c r="B310" i="6"/>
  <c r="B5" i="5"/>
  <c r="H12" i="5"/>
  <c r="E22" i="5"/>
  <c r="C38" i="5"/>
  <c r="A49" i="6"/>
  <c r="H49" i="5"/>
  <c r="G49" i="5"/>
  <c r="F49" i="5"/>
  <c r="E49" i="5"/>
  <c r="C49" i="5"/>
  <c r="E63" i="5"/>
  <c r="B89" i="5"/>
  <c r="A112" i="6"/>
  <c r="K112" i="5"/>
  <c r="J112" i="5"/>
  <c r="I112" i="5"/>
  <c r="H112" i="5"/>
  <c r="F112" i="5"/>
  <c r="B112" i="5"/>
  <c r="G112" i="5"/>
  <c r="E112" i="5"/>
  <c r="A191" i="6"/>
  <c r="K191" i="5"/>
  <c r="E191" i="5"/>
  <c r="D191" i="5"/>
  <c r="C191" i="5"/>
  <c r="B191" i="5"/>
  <c r="G191" i="5"/>
  <c r="E220" i="5"/>
  <c r="H249" i="5"/>
  <c r="A267" i="6"/>
  <c r="J267" i="5"/>
  <c r="F267" i="5"/>
  <c r="F278" i="5"/>
  <c r="I308" i="5"/>
  <c r="J398" i="5"/>
  <c r="A477" i="6"/>
  <c r="I477" i="5"/>
  <c r="H477" i="5"/>
  <c r="K477" i="5"/>
  <c r="J477" i="5"/>
  <c r="G477" i="5"/>
  <c r="F477" i="5"/>
  <c r="D477" i="5"/>
  <c r="E477" i="5"/>
  <c r="I86" i="6"/>
  <c r="F86" i="6"/>
  <c r="E86" i="6"/>
  <c r="D86" i="6"/>
  <c r="C86" i="6"/>
  <c r="B20" i="5"/>
  <c r="F35" i="5"/>
  <c r="F41" i="5"/>
  <c r="B57" i="5"/>
  <c r="J82" i="5"/>
  <c r="C89" i="5"/>
  <c r="D124" i="5"/>
  <c r="A148" i="6"/>
  <c r="G148" i="5"/>
  <c r="F148" i="5"/>
  <c r="D148" i="5"/>
  <c r="J148" i="5"/>
  <c r="I148" i="5"/>
  <c r="A168" i="6"/>
  <c r="C168" i="5"/>
  <c r="B168" i="5"/>
  <c r="H168" i="5"/>
  <c r="K168" i="5"/>
  <c r="J168" i="5"/>
  <c r="K210" i="5"/>
  <c r="J210" i="5"/>
  <c r="I210" i="5"/>
  <c r="H210" i="5"/>
  <c r="F210" i="5"/>
  <c r="B210" i="5"/>
  <c r="A221" i="6"/>
  <c r="I221" i="5"/>
  <c r="E221" i="5"/>
  <c r="D221" i="5"/>
  <c r="I224" i="5"/>
  <c r="I249" i="5"/>
  <c r="B267" i="5"/>
  <c r="K329" i="5"/>
  <c r="I355" i="5"/>
  <c r="A377" i="6"/>
  <c r="G377" i="5"/>
  <c r="F377" i="5"/>
  <c r="E377" i="5"/>
  <c r="D377" i="5"/>
  <c r="J377" i="5"/>
  <c r="B377" i="5"/>
  <c r="D395" i="5"/>
  <c r="B282" i="6"/>
  <c r="G41" i="5"/>
  <c r="G63" i="5"/>
  <c r="D112" i="5"/>
  <c r="B121" i="5"/>
  <c r="H130" i="5"/>
  <c r="B148" i="5"/>
  <c r="D168" i="5"/>
  <c r="C210" i="5"/>
  <c r="J249" i="5"/>
  <c r="A286" i="6"/>
  <c r="H286" i="5"/>
  <c r="K286" i="5"/>
  <c r="G286" i="5"/>
  <c r="C286" i="5"/>
  <c r="B286" i="5"/>
  <c r="B15" i="6"/>
  <c r="G15" i="5"/>
  <c r="E52" i="5"/>
  <c r="J63" i="5"/>
  <c r="A103" i="6"/>
  <c r="K103" i="5"/>
  <c r="I103" i="5"/>
  <c r="E103" i="5"/>
  <c r="K121" i="5"/>
  <c r="I158" i="5"/>
  <c r="G168" i="5"/>
  <c r="A192" i="6"/>
  <c r="C192" i="5"/>
  <c r="B192" i="5"/>
  <c r="K192" i="5"/>
  <c r="G192" i="5"/>
  <c r="F192" i="5"/>
  <c r="G195" i="5"/>
  <c r="J204" i="5"/>
  <c r="G210" i="5"/>
  <c r="A237" i="6"/>
  <c r="K237" i="5"/>
  <c r="I237" i="5"/>
  <c r="J237" i="5"/>
  <c r="H237" i="5"/>
  <c r="G237" i="5"/>
  <c r="F237" i="5"/>
  <c r="D237" i="5"/>
  <c r="C237" i="5"/>
  <c r="K244" i="5"/>
  <c r="F286" i="5"/>
  <c r="D302" i="5"/>
  <c r="K377" i="5"/>
  <c r="K462" i="5"/>
  <c r="I15" i="6"/>
  <c r="K86" i="6"/>
  <c r="B18" i="5"/>
  <c r="K41" i="5"/>
  <c r="A61" i="6"/>
  <c r="K61" i="5"/>
  <c r="D61" i="5"/>
  <c r="C61" i="5"/>
  <c r="J74" i="5"/>
  <c r="D83" i="5"/>
  <c r="D92" i="5"/>
  <c r="D100" i="5"/>
  <c r="E109" i="5"/>
  <c r="I124" i="5"/>
  <c r="J158" i="5"/>
  <c r="J10" i="5"/>
  <c r="C10" i="6" s="1"/>
  <c r="B6" i="5"/>
  <c r="K10" i="5"/>
  <c r="E13" i="5"/>
  <c r="I13" i="5" s="1"/>
  <c r="J15" i="5"/>
  <c r="D18" i="5"/>
  <c r="I20" i="5"/>
  <c r="K25" i="5"/>
  <c r="H36" i="5"/>
  <c r="B42" i="5"/>
  <c r="K44" i="5"/>
  <c r="H52" i="5"/>
  <c r="D55" i="5"/>
  <c r="J57" i="5"/>
  <c r="E61" i="5"/>
  <c r="B72" i="5"/>
  <c r="F83" i="5"/>
  <c r="K86" i="5"/>
  <c r="J89" i="5"/>
  <c r="G92" i="5"/>
  <c r="K94" i="5"/>
  <c r="F100" i="5"/>
  <c r="D103" i="5"/>
  <c r="E106" i="5"/>
  <c r="D106" i="5"/>
  <c r="C106" i="5"/>
  <c r="B106" i="5"/>
  <c r="K106" i="5"/>
  <c r="J106" i="5"/>
  <c r="A106" i="6"/>
  <c r="I109" i="5"/>
  <c r="F113" i="5"/>
  <c r="C122" i="5"/>
  <c r="B125" i="5"/>
  <c r="E131" i="5"/>
  <c r="B135" i="5"/>
  <c r="J141" i="5"/>
  <c r="C145" i="5"/>
  <c r="B182" i="5"/>
  <c r="C185" i="5"/>
  <c r="H192" i="5"/>
  <c r="F202" i="5"/>
  <c r="K221" i="5"/>
  <c r="B231" i="5"/>
  <c r="D234" i="5"/>
  <c r="K267" i="5"/>
  <c r="B291" i="5"/>
  <c r="H299" i="5"/>
  <c r="A368" i="6"/>
  <c r="E368" i="5"/>
  <c r="D368" i="5"/>
  <c r="C368" i="5"/>
  <c r="B368" i="5"/>
  <c r="I368" i="5"/>
  <c r="H368" i="5"/>
  <c r="G368" i="5"/>
  <c r="F368" i="5"/>
  <c r="K368" i="5"/>
  <c r="I374" i="5"/>
  <c r="C386" i="5"/>
  <c r="H392" i="5"/>
  <c r="E411" i="5"/>
  <c r="F430" i="5"/>
  <c r="F454" i="5"/>
  <c r="B464" i="5"/>
  <c r="D32" i="6"/>
  <c r="K149" i="6"/>
  <c r="J149" i="6"/>
  <c r="I149" i="6"/>
  <c r="G149" i="6"/>
  <c r="F149" i="6"/>
  <c r="H149" i="6"/>
  <c r="E149" i="6"/>
  <c r="D149" i="6"/>
  <c r="B149" i="6"/>
  <c r="E225" i="6"/>
  <c r="G360" i="6"/>
  <c r="J360" i="6"/>
  <c r="F360" i="6"/>
  <c r="I360" i="6"/>
  <c r="H360" i="6"/>
  <c r="C360" i="6"/>
  <c r="K360" i="6"/>
  <c r="E360" i="6"/>
  <c r="D360" i="6"/>
  <c r="B360" i="6"/>
  <c r="K468" i="6"/>
  <c r="H468" i="6"/>
  <c r="C468" i="6"/>
  <c r="I468" i="6"/>
  <c r="D468" i="6"/>
  <c r="B468" i="6"/>
  <c r="E468" i="6"/>
  <c r="G468" i="6"/>
  <c r="F468" i="6"/>
  <c r="J468" i="6"/>
  <c r="A209" i="6"/>
  <c r="H209" i="5"/>
  <c r="G209" i="5"/>
  <c r="E209" i="5"/>
  <c r="I209" i="5"/>
  <c r="F209" i="5"/>
  <c r="B209" i="5"/>
  <c r="A394" i="6"/>
  <c r="J394" i="5"/>
  <c r="G394" i="5"/>
  <c r="F394" i="5"/>
  <c r="E394" i="5"/>
  <c r="D394" i="5"/>
  <c r="C394" i="5"/>
  <c r="B394" i="5"/>
  <c r="K394" i="5"/>
  <c r="A289" i="6"/>
  <c r="K289" i="5"/>
  <c r="J289" i="5"/>
  <c r="H289" i="5"/>
  <c r="E289" i="5"/>
  <c r="I289" i="5"/>
  <c r="C289" i="5"/>
  <c r="B289" i="5"/>
  <c r="A323" i="6"/>
  <c r="H323" i="5"/>
  <c r="I323" i="5"/>
  <c r="G323" i="5"/>
  <c r="F323" i="5"/>
  <c r="E323" i="5"/>
  <c r="K323" i="5"/>
  <c r="B398" i="5"/>
  <c r="G76" i="6"/>
  <c r="E76" i="6"/>
  <c r="B76" i="6"/>
  <c r="K76" i="6"/>
  <c r="H76" i="6"/>
  <c r="F76" i="6"/>
  <c r="J76" i="6"/>
  <c r="I68" i="5"/>
  <c r="A108" i="6"/>
  <c r="G108" i="5"/>
  <c r="F108" i="5"/>
  <c r="E108" i="5"/>
  <c r="D108" i="5"/>
  <c r="B108" i="5"/>
  <c r="K108" i="5"/>
  <c r="J108" i="5"/>
  <c r="A151" i="6"/>
  <c r="J151" i="5"/>
  <c r="F151" i="5"/>
  <c r="H151" i="5"/>
  <c r="G151" i="5"/>
  <c r="D178" i="5"/>
  <c r="B285" i="5"/>
  <c r="H329" i="5"/>
  <c r="A381" i="6"/>
  <c r="K381" i="5"/>
  <c r="J381" i="5"/>
  <c r="I381" i="5"/>
  <c r="G381" i="5"/>
  <c r="C381" i="5"/>
  <c r="H381" i="5"/>
  <c r="F381" i="5"/>
  <c r="E381" i="5"/>
  <c r="B381" i="5"/>
  <c r="B38" i="5"/>
  <c r="F143" i="5"/>
  <c r="D165" i="5"/>
  <c r="E285" i="5"/>
  <c r="I398" i="5"/>
  <c r="C22" i="6"/>
  <c r="D76" i="6"/>
  <c r="I172" i="6"/>
  <c r="H172" i="6"/>
  <c r="G172" i="6"/>
  <c r="F172" i="6"/>
  <c r="J172" i="6"/>
  <c r="K172" i="6"/>
  <c r="E172" i="6"/>
  <c r="D172" i="6"/>
  <c r="C172" i="6"/>
  <c r="G82" i="5"/>
  <c r="D323" i="5"/>
  <c r="G355" i="5"/>
  <c r="C157" i="6"/>
  <c r="C5" i="5"/>
  <c r="B5" i="6" s="1"/>
  <c r="E38" i="5"/>
  <c r="B49" i="5"/>
  <c r="C112" i="5"/>
  <c r="D151" i="5"/>
  <c r="D204" i="5"/>
  <c r="A399" i="6"/>
  <c r="J399" i="5"/>
  <c r="G399" i="5"/>
  <c r="K399" i="5"/>
  <c r="F399" i="5"/>
  <c r="E399" i="5"/>
  <c r="I399" i="5"/>
  <c r="D399" i="5"/>
  <c r="H399" i="5"/>
  <c r="B477" i="5"/>
  <c r="I143" i="5"/>
  <c r="I74" i="5"/>
  <c r="K15" i="5"/>
  <c r="E18" i="5"/>
  <c r="K20" i="5"/>
  <c r="K31" i="5"/>
  <c r="I31" i="5"/>
  <c r="E31" i="5"/>
  <c r="A31" i="6"/>
  <c r="F55" i="5"/>
  <c r="A58" i="6"/>
  <c r="E58" i="5"/>
  <c r="D58" i="5"/>
  <c r="C58" i="5"/>
  <c r="B58" i="5"/>
  <c r="G58" i="5"/>
  <c r="F58" i="5"/>
  <c r="G83" i="5"/>
  <c r="F87" i="6"/>
  <c r="D87" i="6"/>
  <c r="K87" i="6"/>
  <c r="I87" i="6"/>
  <c r="C87" i="6"/>
  <c r="H87" i="6"/>
  <c r="J87" i="6"/>
  <c r="K89" i="5"/>
  <c r="H92" i="5"/>
  <c r="G100" i="5"/>
  <c r="F103" i="5"/>
  <c r="J109" i="5"/>
  <c r="G113" i="5"/>
  <c r="I192" i="5"/>
  <c r="G202" i="5"/>
  <c r="G234" i="5"/>
  <c r="A241" i="6"/>
  <c r="K241" i="5"/>
  <c r="I241" i="5"/>
  <c r="H241" i="5"/>
  <c r="D241" i="5"/>
  <c r="C241" i="5"/>
  <c r="A264" i="6"/>
  <c r="K264" i="5"/>
  <c r="J264" i="5"/>
  <c r="C264" i="5"/>
  <c r="A296" i="6"/>
  <c r="F296" i="5"/>
  <c r="E296" i="5"/>
  <c r="D296" i="5"/>
  <c r="C296" i="5"/>
  <c r="G296" i="5"/>
  <c r="I299" i="5"/>
  <c r="H411" i="5"/>
  <c r="A420" i="6"/>
  <c r="H420" i="5"/>
  <c r="G420" i="5"/>
  <c r="F420" i="5"/>
  <c r="E420" i="5"/>
  <c r="K420" i="5"/>
  <c r="J420" i="5"/>
  <c r="I420" i="5"/>
  <c r="C420" i="5"/>
  <c r="I454" i="5"/>
  <c r="A18" i="6"/>
  <c r="E32" i="6"/>
  <c r="C117" i="6"/>
  <c r="K117" i="6"/>
  <c r="H117" i="6"/>
  <c r="F117" i="6"/>
  <c r="B117" i="6"/>
  <c r="J117" i="6"/>
  <c r="G117" i="6"/>
  <c r="A174" i="6"/>
  <c r="I174" i="5"/>
  <c r="H174" i="5"/>
  <c r="F174" i="5"/>
  <c r="E174" i="5"/>
  <c r="D174" i="5"/>
  <c r="C174" i="5"/>
  <c r="B174" i="5"/>
  <c r="A211" i="6"/>
  <c r="J211" i="5"/>
  <c r="I211" i="5"/>
  <c r="G211" i="5"/>
  <c r="A275" i="6"/>
  <c r="I275" i="5"/>
  <c r="H275" i="5"/>
  <c r="F275" i="5"/>
  <c r="E275" i="5"/>
  <c r="A309" i="6"/>
  <c r="H309" i="5"/>
  <c r="G309" i="5"/>
  <c r="F309" i="5"/>
  <c r="E309" i="5"/>
  <c r="K309" i="5"/>
  <c r="J309" i="5"/>
  <c r="I309" i="5"/>
  <c r="C309" i="5"/>
  <c r="A343" i="6"/>
  <c r="H343" i="5"/>
  <c r="D343" i="5"/>
  <c r="I343" i="5"/>
  <c r="G343" i="5"/>
  <c r="F343" i="5"/>
  <c r="E343" i="5"/>
  <c r="B343" i="5"/>
  <c r="J343" i="5"/>
  <c r="C350" i="5"/>
  <c r="K350" i="5"/>
  <c r="H350" i="5"/>
  <c r="G350" i="5"/>
  <c r="F350" i="5"/>
  <c r="E350" i="5"/>
  <c r="B350" i="5"/>
  <c r="A469" i="6"/>
  <c r="J469" i="5"/>
  <c r="H469" i="5"/>
  <c r="E469" i="5"/>
  <c r="F469" i="5"/>
  <c r="G469" i="5"/>
  <c r="J51" i="6"/>
  <c r="G51" i="6"/>
  <c r="F51" i="6"/>
  <c r="H51" i="6"/>
  <c r="E51" i="6"/>
  <c r="D51" i="6"/>
  <c r="C51" i="6"/>
  <c r="I51" i="6"/>
  <c r="G172" i="5"/>
  <c r="F172" i="5"/>
  <c r="D172" i="5"/>
  <c r="A198" i="6"/>
  <c r="I198" i="5"/>
  <c r="H198" i="5"/>
  <c r="F198" i="5"/>
  <c r="K198" i="5"/>
  <c r="J198" i="5"/>
  <c r="G198" i="5"/>
  <c r="D198" i="5"/>
  <c r="H206" i="6"/>
  <c r="E206" i="6"/>
  <c r="D206" i="6"/>
  <c r="C206" i="6"/>
  <c r="G206" i="6"/>
  <c r="F206" i="6"/>
  <c r="K206" i="6"/>
  <c r="J206" i="6"/>
  <c r="I206" i="6"/>
  <c r="B206" i="6"/>
  <c r="K211" i="5"/>
  <c r="A250" i="6"/>
  <c r="H250" i="5"/>
  <c r="E250" i="5"/>
  <c r="F250" i="5"/>
  <c r="D250" i="5"/>
  <c r="C250" i="5"/>
  <c r="B250" i="5"/>
  <c r="A259" i="6"/>
  <c r="E259" i="5"/>
  <c r="B259" i="5"/>
  <c r="A306" i="6"/>
  <c r="G306" i="5"/>
  <c r="F306" i="5"/>
  <c r="E306" i="5"/>
  <c r="D306" i="5"/>
  <c r="B306" i="5"/>
  <c r="A330" i="6"/>
  <c r="G330" i="5"/>
  <c r="C330" i="5"/>
  <c r="H330" i="5"/>
  <c r="F330" i="5"/>
  <c r="E330" i="5"/>
  <c r="D330" i="5"/>
  <c r="J330" i="5"/>
  <c r="A415" i="6"/>
  <c r="D415" i="5"/>
  <c r="B415" i="5"/>
  <c r="G415" i="5"/>
  <c r="F415" i="5"/>
  <c r="E415" i="5"/>
  <c r="C415" i="5"/>
  <c r="A451" i="6"/>
  <c r="K451" i="5"/>
  <c r="C451" i="5"/>
  <c r="G451" i="5"/>
  <c r="A459" i="6"/>
  <c r="E459" i="5"/>
  <c r="D459" i="5"/>
  <c r="C459" i="5"/>
  <c r="B459" i="5"/>
  <c r="K459" i="5"/>
  <c r="A463" i="6"/>
  <c r="D463" i="5"/>
  <c r="B463" i="5"/>
  <c r="I463" i="5"/>
  <c r="F463" i="5"/>
  <c r="E463" i="5"/>
  <c r="K463" i="5"/>
  <c r="J463" i="5"/>
  <c r="H463" i="5"/>
  <c r="G463" i="5"/>
  <c r="B172" i="5"/>
  <c r="B198" i="5"/>
  <c r="A212" i="6"/>
  <c r="K212" i="5"/>
  <c r="G212" i="5"/>
  <c r="C259" i="5"/>
  <c r="A262" i="6"/>
  <c r="J262" i="5"/>
  <c r="F262" i="5"/>
  <c r="C306" i="5"/>
  <c r="A327" i="6"/>
  <c r="E327" i="5"/>
  <c r="D327" i="5"/>
  <c r="C327" i="5"/>
  <c r="B327" i="5"/>
  <c r="H327" i="5"/>
  <c r="B330" i="5"/>
  <c r="A359" i="6"/>
  <c r="K359" i="5"/>
  <c r="I359" i="5"/>
  <c r="E359" i="5"/>
  <c r="J359" i="5"/>
  <c r="H359" i="5"/>
  <c r="G359" i="5"/>
  <c r="D359" i="5"/>
  <c r="H415" i="5"/>
  <c r="A432" i="6"/>
  <c r="I432" i="5"/>
  <c r="G432" i="5"/>
  <c r="D432" i="5"/>
  <c r="K432" i="5"/>
  <c r="H432" i="5"/>
  <c r="B432" i="5"/>
  <c r="B451" i="5"/>
  <c r="F459" i="5"/>
  <c r="C463" i="5"/>
  <c r="A485" i="6"/>
  <c r="B485" i="5"/>
  <c r="H485" i="5"/>
  <c r="E485" i="5"/>
  <c r="D485" i="5"/>
  <c r="J485" i="5"/>
  <c r="C485" i="5"/>
  <c r="A492" i="6"/>
  <c r="I492" i="5"/>
  <c r="F492" i="5"/>
  <c r="E492" i="5"/>
  <c r="K492" i="5"/>
  <c r="J492" i="5"/>
  <c r="H492" i="5"/>
  <c r="I47" i="6"/>
  <c r="E47" i="6"/>
  <c r="D47" i="6"/>
  <c r="C47" i="6"/>
  <c r="B47" i="6"/>
  <c r="K47" i="6"/>
  <c r="H47" i="6"/>
  <c r="G169" i="6"/>
  <c r="B169" i="6"/>
  <c r="J169" i="6"/>
  <c r="F169" i="6"/>
  <c r="K169" i="6"/>
  <c r="I169" i="6"/>
  <c r="C169" i="6"/>
  <c r="I172" i="5"/>
  <c r="A187" i="6"/>
  <c r="J187" i="5"/>
  <c r="I187" i="5"/>
  <c r="G187" i="5"/>
  <c r="E212" i="5"/>
  <c r="A233" i="6"/>
  <c r="H233" i="5"/>
  <c r="G233" i="5"/>
  <c r="E233" i="5"/>
  <c r="A236" i="6"/>
  <c r="K236" i="5"/>
  <c r="A251" i="6"/>
  <c r="I251" i="5"/>
  <c r="H251" i="5"/>
  <c r="F251" i="5"/>
  <c r="H259" i="5"/>
  <c r="E262" i="5"/>
  <c r="K306" i="5"/>
  <c r="A315" i="6"/>
  <c r="D315" i="5"/>
  <c r="K315" i="5"/>
  <c r="G315" i="5"/>
  <c r="F315" i="5"/>
  <c r="J327" i="5"/>
  <c r="A416" i="6"/>
  <c r="I416" i="5"/>
  <c r="H416" i="5"/>
  <c r="K416" i="5"/>
  <c r="J416" i="5"/>
  <c r="F416" i="5"/>
  <c r="B416" i="5"/>
  <c r="J432" i="5"/>
  <c r="H451" i="5"/>
  <c r="J459" i="5"/>
  <c r="A467" i="6"/>
  <c r="H467" i="5"/>
  <c r="F467" i="5"/>
  <c r="C467" i="5"/>
  <c r="K467" i="5"/>
  <c r="J467" i="5"/>
  <c r="I467" i="5"/>
  <c r="E467" i="5"/>
  <c r="G467" i="5"/>
  <c r="D467" i="5"/>
  <c r="B467" i="5"/>
  <c r="K485" i="5"/>
  <c r="G492" i="5"/>
  <c r="K183" i="6"/>
  <c r="J183" i="6"/>
  <c r="F183" i="6"/>
  <c r="E183" i="6"/>
  <c r="B183" i="6"/>
  <c r="C183" i="6"/>
  <c r="A350" i="6"/>
  <c r="K77" i="5"/>
  <c r="J77" i="5"/>
  <c r="I77" i="5"/>
  <c r="G77" i="5"/>
  <c r="C77" i="5"/>
  <c r="A96" i="6"/>
  <c r="J96" i="5"/>
  <c r="A173" i="6"/>
  <c r="K173" i="5"/>
  <c r="G173" i="5"/>
  <c r="D187" i="5"/>
  <c r="I212" i="5"/>
  <c r="A219" i="6"/>
  <c r="J219" i="5"/>
  <c r="A222" i="6"/>
  <c r="I222" i="5"/>
  <c r="H222" i="5"/>
  <c r="F222" i="5"/>
  <c r="K222" i="5"/>
  <c r="D222" i="5"/>
  <c r="K259" i="5"/>
  <c r="I262" i="5"/>
  <c r="K269" i="6"/>
  <c r="H269" i="6"/>
  <c r="G269" i="6"/>
  <c r="F269" i="6"/>
  <c r="D269" i="6"/>
  <c r="I269" i="6"/>
  <c r="E269" i="6"/>
  <c r="C269" i="6"/>
  <c r="B269" i="6"/>
  <c r="J269" i="6"/>
  <c r="A280" i="6"/>
  <c r="K280" i="5"/>
  <c r="G280" i="5"/>
  <c r="F280" i="5"/>
  <c r="D280" i="5"/>
  <c r="A312" i="6"/>
  <c r="I312" i="5"/>
  <c r="K312" i="5"/>
  <c r="H312" i="5"/>
  <c r="D312" i="5"/>
  <c r="E315" i="5"/>
  <c r="H367" i="5"/>
  <c r="D367" i="5"/>
  <c r="A367" i="6"/>
  <c r="K367" i="5"/>
  <c r="F367" i="5"/>
  <c r="A429" i="6"/>
  <c r="C429" i="5"/>
  <c r="J429" i="5"/>
  <c r="I429" i="5"/>
  <c r="H429" i="5"/>
  <c r="G429" i="5"/>
  <c r="E429" i="5"/>
  <c r="H183" i="6"/>
  <c r="A64" i="6"/>
  <c r="K64" i="5"/>
  <c r="J64" i="5"/>
  <c r="I64" i="5"/>
  <c r="H64" i="5"/>
  <c r="F64" i="5"/>
  <c r="B64" i="5"/>
  <c r="B77" i="5"/>
  <c r="B96" i="5"/>
  <c r="A118" i="6"/>
  <c r="H118" i="5"/>
  <c r="K138" i="6"/>
  <c r="F138" i="6"/>
  <c r="E138" i="6"/>
  <c r="G138" i="6"/>
  <c r="C138" i="6"/>
  <c r="D138" i="6"/>
  <c r="J138" i="6"/>
  <c r="B173" i="5"/>
  <c r="E187" i="5"/>
  <c r="J212" i="5"/>
  <c r="B219" i="5"/>
  <c r="B222" i="5"/>
  <c r="F233" i="5"/>
  <c r="E236" i="5"/>
  <c r="A248" i="6"/>
  <c r="F248" i="5"/>
  <c r="C248" i="5"/>
  <c r="A257" i="6"/>
  <c r="C257" i="5"/>
  <c r="K257" i="5"/>
  <c r="I257" i="5"/>
  <c r="E257" i="5"/>
  <c r="K262" i="5"/>
  <c r="B269" i="5"/>
  <c r="A274" i="6"/>
  <c r="H274" i="5"/>
  <c r="G274" i="5"/>
  <c r="E274" i="5"/>
  <c r="B280" i="5"/>
  <c r="B312" i="5"/>
  <c r="H315" i="5"/>
  <c r="A339" i="6"/>
  <c r="D339" i="5"/>
  <c r="K339" i="5"/>
  <c r="J339" i="5"/>
  <c r="I339" i="5"/>
  <c r="A364" i="6"/>
  <c r="I364" i="5"/>
  <c r="B367" i="5"/>
  <c r="A404" i="6"/>
  <c r="E404" i="5"/>
  <c r="C404" i="5"/>
  <c r="I404" i="5"/>
  <c r="F404" i="5"/>
  <c r="D404" i="5"/>
  <c r="G416" i="5"/>
  <c r="B429" i="5"/>
  <c r="D298" i="6"/>
  <c r="K298" i="6"/>
  <c r="J298" i="6"/>
  <c r="G298" i="6"/>
  <c r="F298" i="6"/>
  <c r="E298" i="6"/>
  <c r="I298" i="6"/>
  <c r="B298" i="6"/>
  <c r="C298" i="6"/>
  <c r="H357" i="6"/>
  <c r="E357" i="6"/>
  <c r="K357" i="6"/>
  <c r="J357" i="6"/>
  <c r="D357" i="6"/>
  <c r="C357" i="6"/>
  <c r="F357" i="6"/>
  <c r="I357" i="6"/>
  <c r="I99" i="6"/>
  <c r="K99" i="6"/>
  <c r="G99" i="6"/>
  <c r="F99" i="6"/>
  <c r="C99" i="6"/>
  <c r="B99" i="6"/>
  <c r="I123" i="6"/>
  <c r="H123" i="6"/>
  <c r="G123" i="6"/>
  <c r="F123" i="6"/>
  <c r="A139" i="6"/>
  <c r="J139" i="5"/>
  <c r="I139" i="5"/>
  <c r="G139" i="5"/>
  <c r="A176" i="6"/>
  <c r="K176" i="5"/>
  <c r="J176" i="5"/>
  <c r="H176" i="5"/>
  <c r="F183" i="5"/>
  <c r="E183" i="5"/>
  <c r="C183" i="5"/>
  <c r="G193" i="6"/>
  <c r="C193" i="6"/>
  <c r="B193" i="6"/>
  <c r="J193" i="6"/>
  <c r="D193" i="6"/>
  <c r="J232" i="6"/>
  <c r="I232" i="6"/>
  <c r="E232" i="6"/>
  <c r="D232" i="6"/>
  <c r="K232" i="6"/>
  <c r="H232" i="6"/>
  <c r="G232" i="6"/>
  <c r="F232" i="6"/>
  <c r="B232" i="6"/>
  <c r="C232" i="6"/>
  <c r="J260" i="5"/>
  <c r="A260" i="6"/>
  <c r="A300" i="6"/>
  <c r="J300" i="5"/>
  <c r="I300" i="5"/>
  <c r="H300" i="5"/>
  <c r="G300" i="5"/>
  <c r="E300" i="5"/>
  <c r="D300" i="5"/>
  <c r="B300" i="5"/>
  <c r="A337" i="6"/>
  <c r="B337" i="5"/>
  <c r="I337" i="5"/>
  <c r="H337" i="5"/>
  <c r="G337" i="5"/>
  <c r="F337" i="5"/>
  <c r="K337" i="5"/>
  <c r="E337" i="5"/>
  <c r="A365" i="6"/>
  <c r="F365" i="5"/>
  <c r="B365" i="5"/>
  <c r="K365" i="5"/>
  <c r="J365" i="5"/>
  <c r="I365" i="5"/>
  <c r="H365" i="5"/>
  <c r="G365" i="5"/>
  <c r="E365" i="5"/>
  <c r="C365" i="5"/>
  <c r="A456" i="6"/>
  <c r="I456" i="5"/>
  <c r="G456" i="5"/>
  <c r="D456" i="5"/>
  <c r="B456" i="5"/>
  <c r="A476" i="6"/>
  <c r="E476" i="5"/>
  <c r="C476" i="5"/>
  <c r="H476" i="5"/>
  <c r="G476" i="5"/>
  <c r="F476" i="5"/>
  <c r="D476" i="5"/>
  <c r="K476" i="5"/>
  <c r="J476" i="5"/>
  <c r="I476" i="5"/>
  <c r="B476" i="5"/>
  <c r="K193" i="6"/>
  <c r="I23" i="6"/>
  <c r="B23" i="6"/>
  <c r="F23" i="6"/>
  <c r="E23" i="6"/>
  <c r="D23" i="6"/>
  <c r="C23" i="6"/>
  <c r="E27" i="5"/>
  <c r="E51" i="5"/>
  <c r="I71" i="6"/>
  <c r="J71" i="6"/>
  <c r="F71" i="6"/>
  <c r="E71" i="6"/>
  <c r="G71" i="6"/>
  <c r="D71" i="6"/>
  <c r="C71" i="6"/>
  <c r="B71" i="6"/>
  <c r="E75" i="5"/>
  <c r="I95" i="6"/>
  <c r="F95" i="6"/>
  <c r="E95" i="6"/>
  <c r="D95" i="6"/>
  <c r="C95" i="6"/>
  <c r="E99" i="5"/>
  <c r="E123" i="5"/>
  <c r="E139" i="5"/>
  <c r="E149" i="5"/>
  <c r="A159" i="6"/>
  <c r="F159" i="5"/>
  <c r="E159" i="5"/>
  <c r="C159" i="5"/>
  <c r="E176" i="5"/>
  <c r="H183" i="5"/>
  <c r="E193" i="5"/>
  <c r="E201" i="6"/>
  <c r="J201" i="6"/>
  <c r="D201" i="6"/>
  <c r="C201" i="6"/>
  <c r="F201" i="6"/>
  <c r="K201" i="6"/>
  <c r="I201" i="6"/>
  <c r="H201" i="6"/>
  <c r="B201" i="6"/>
  <c r="J208" i="6"/>
  <c r="H208" i="6"/>
  <c r="G208" i="6"/>
  <c r="F208" i="6"/>
  <c r="C208" i="6"/>
  <c r="B208" i="6"/>
  <c r="D208" i="6"/>
  <c r="E208" i="6"/>
  <c r="I208" i="6"/>
  <c r="E225" i="5"/>
  <c r="E232" i="5"/>
  <c r="E260" i="5"/>
  <c r="A276" i="6"/>
  <c r="J276" i="5"/>
  <c r="I276" i="5"/>
  <c r="G276" i="5"/>
  <c r="I287" i="5"/>
  <c r="H287" i="5"/>
  <c r="F287" i="5"/>
  <c r="K287" i="5"/>
  <c r="A290" i="6"/>
  <c r="H290" i="5"/>
  <c r="G290" i="5"/>
  <c r="E290" i="5"/>
  <c r="J301" i="6"/>
  <c r="G301" i="6"/>
  <c r="F301" i="6"/>
  <c r="E301" i="6"/>
  <c r="K301" i="6"/>
  <c r="I301" i="6"/>
  <c r="H301" i="6"/>
  <c r="D301" i="6"/>
  <c r="C301" i="6"/>
  <c r="B301" i="6"/>
  <c r="A316" i="6"/>
  <c r="G316" i="5"/>
  <c r="F316" i="5"/>
  <c r="E316" i="5"/>
  <c r="D316" i="5"/>
  <c r="I316" i="5"/>
  <c r="C316" i="5"/>
  <c r="B316" i="5"/>
  <c r="A325" i="6"/>
  <c r="J325" i="5"/>
  <c r="K325" i="5"/>
  <c r="I325" i="5"/>
  <c r="H325" i="5"/>
  <c r="A334" i="6"/>
  <c r="K334" i="5"/>
  <c r="G334" i="5"/>
  <c r="J334" i="5"/>
  <c r="I334" i="5"/>
  <c r="F334" i="5"/>
  <c r="B334" i="5"/>
  <c r="A436" i="6"/>
  <c r="K436" i="5"/>
  <c r="H436" i="5"/>
  <c r="G436" i="5"/>
  <c r="D436" i="5"/>
  <c r="C436" i="5"/>
  <c r="J436" i="5"/>
  <c r="I436" i="5"/>
  <c r="F436" i="5"/>
  <c r="E436" i="5"/>
  <c r="A446" i="6"/>
  <c r="F446" i="5"/>
  <c r="C446" i="5"/>
  <c r="B446" i="5"/>
  <c r="J446" i="5"/>
  <c r="I446" i="5"/>
  <c r="H446" i="5"/>
  <c r="G446" i="5"/>
  <c r="D446" i="5"/>
  <c r="H456" i="5"/>
  <c r="A480" i="6"/>
  <c r="I480" i="5"/>
  <c r="G480" i="5"/>
  <c r="D480" i="5"/>
  <c r="H480" i="5"/>
  <c r="C480" i="5"/>
  <c r="B480" i="5"/>
  <c r="D75" i="6"/>
  <c r="C23" i="5"/>
  <c r="G27" i="5"/>
  <c r="C47" i="5"/>
  <c r="G51" i="5"/>
  <c r="J69" i="6"/>
  <c r="G69" i="6"/>
  <c r="D69" i="6"/>
  <c r="C71" i="5"/>
  <c r="G75" i="5"/>
  <c r="C95" i="5"/>
  <c r="G99" i="5"/>
  <c r="C119" i="5"/>
  <c r="G123" i="5"/>
  <c r="H139" i="5"/>
  <c r="G149" i="5"/>
  <c r="K152" i="5"/>
  <c r="J152" i="5"/>
  <c r="H152" i="5"/>
  <c r="D159" i="5"/>
  <c r="C169" i="5"/>
  <c r="G176" i="5"/>
  <c r="J183" i="5"/>
  <c r="G193" i="5"/>
  <c r="A196" i="6"/>
  <c r="G196" i="5"/>
  <c r="F196" i="5"/>
  <c r="D196" i="5"/>
  <c r="C201" i="5"/>
  <c r="G225" i="5"/>
  <c r="G232" i="5"/>
  <c r="A235" i="6"/>
  <c r="J235" i="5"/>
  <c r="I235" i="5"/>
  <c r="G235" i="5"/>
  <c r="C245" i="5"/>
  <c r="G260" i="5"/>
  <c r="I263" i="5"/>
  <c r="H263" i="5"/>
  <c r="F263" i="5"/>
  <c r="G263" i="5"/>
  <c r="A263" i="6"/>
  <c r="E263" i="5"/>
  <c r="C263" i="5"/>
  <c r="C276" i="5"/>
  <c r="C287" i="5"/>
  <c r="C290" i="5"/>
  <c r="H298" i="5"/>
  <c r="G298" i="5"/>
  <c r="F298" i="5"/>
  <c r="E298" i="5"/>
  <c r="C301" i="5"/>
  <c r="A313" i="6"/>
  <c r="K313" i="5"/>
  <c r="I313" i="5"/>
  <c r="G313" i="5"/>
  <c r="F313" i="5"/>
  <c r="D313" i="5"/>
  <c r="J316" i="5"/>
  <c r="C325" i="5"/>
  <c r="D334" i="5"/>
  <c r="A356" i="6"/>
  <c r="I356" i="5"/>
  <c r="E356" i="5"/>
  <c r="F356" i="5"/>
  <c r="D356" i="5"/>
  <c r="C356" i="5"/>
  <c r="B356" i="5"/>
  <c r="G356" i="5"/>
  <c r="A375" i="6"/>
  <c r="E375" i="5"/>
  <c r="D375" i="5"/>
  <c r="C375" i="5"/>
  <c r="B375" i="5"/>
  <c r="H375" i="5"/>
  <c r="A378" i="6"/>
  <c r="G378" i="5"/>
  <c r="C378" i="5"/>
  <c r="K378" i="5"/>
  <c r="I378" i="5"/>
  <c r="D378" i="5"/>
  <c r="A414" i="6"/>
  <c r="J414" i="5"/>
  <c r="G414" i="5"/>
  <c r="D414" i="5"/>
  <c r="C414" i="5"/>
  <c r="A437" i="6"/>
  <c r="B437" i="5"/>
  <c r="J437" i="5"/>
  <c r="F437" i="5"/>
  <c r="K446" i="5"/>
  <c r="K456" i="5"/>
  <c r="F480" i="5"/>
  <c r="A488" i="6"/>
  <c r="B488" i="5"/>
  <c r="K488" i="5"/>
  <c r="G488" i="5"/>
  <c r="C43" i="6"/>
  <c r="F75" i="6"/>
  <c r="D115" i="6"/>
  <c r="B228" i="6"/>
  <c r="B21" i="5"/>
  <c r="D23" i="5"/>
  <c r="H27" i="5"/>
  <c r="H75" i="5"/>
  <c r="K80" i="6"/>
  <c r="I80" i="6"/>
  <c r="F80" i="6"/>
  <c r="B80" i="6"/>
  <c r="E80" i="6"/>
  <c r="H99" i="5"/>
  <c r="B104" i="6"/>
  <c r="I104" i="6"/>
  <c r="C104" i="6"/>
  <c r="H123" i="5"/>
  <c r="K139" i="5"/>
  <c r="B152" i="5"/>
  <c r="G159" i="5"/>
  <c r="I176" i="5"/>
  <c r="K183" i="5"/>
  <c r="H193" i="5"/>
  <c r="B196" i="5"/>
  <c r="D201" i="5"/>
  <c r="D208" i="5"/>
  <c r="A218" i="6"/>
  <c r="E218" i="5"/>
  <c r="D218" i="5"/>
  <c r="B218" i="5"/>
  <c r="H232" i="5"/>
  <c r="B235" i="5"/>
  <c r="A240" i="6"/>
  <c r="C240" i="5"/>
  <c r="B240" i="5"/>
  <c r="A253" i="6"/>
  <c r="J253" i="5"/>
  <c r="A258" i="6"/>
  <c r="I258" i="5"/>
  <c r="H258" i="5"/>
  <c r="F258" i="5"/>
  <c r="H260" i="5"/>
  <c r="K271" i="6"/>
  <c r="J271" i="6"/>
  <c r="I271" i="6"/>
  <c r="G271" i="6"/>
  <c r="F271" i="6"/>
  <c r="B271" i="6"/>
  <c r="H271" i="6"/>
  <c r="E271" i="6"/>
  <c r="D271" i="6"/>
  <c r="C271" i="6"/>
  <c r="D276" i="5"/>
  <c r="D287" i="5"/>
  <c r="D290" i="5"/>
  <c r="G320" i="6"/>
  <c r="F320" i="6"/>
  <c r="E320" i="6"/>
  <c r="B320" i="6"/>
  <c r="K320" i="6"/>
  <c r="J320" i="6"/>
  <c r="D325" i="5"/>
  <c r="E334" i="5"/>
  <c r="A341" i="6"/>
  <c r="F341" i="5"/>
  <c r="B341" i="5"/>
  <c r="H356" i="5"/>
  <c r="F375" i="5"/>
  <c r="B378" i="5"/>
  <c r="A389" i="6"/>
  <c r="B389" i="5"/>
  <c r="J389" i="5"/>
  <c r="I389" i="5"/>
  <c r="A406" i="6"/>
  <c r="G406" i="5"/>
  <c r="E406" i="5"/>
  <c r="B406" i="5"/>
  <c r="K406" i="5"/>
  <c r="J406" i="5"/>
  <c r="I406" i="5"/>
  <c r="H406" i="5"/>
  <c r="F406" i="5"/>
  <c r="C406" i="5"/>
  <c r="B414" i="5"/>
  <c r="A433" i="6"/>
  <c r="J433" i="5"/>
  <c r="I433" i="5"/>
  <c r="K433" i="5"/>
  <c r="H433" i="5"/>
  <c r="G433" i="5"/>
  <c r="F433" i="5"/>
  <c r="C437" i="5"/>
  <c r="A443" i="6"/>
  <c r="H443" i="5"/>
  <c r="F443" i="5"/>
  <c r="C443" i="5"/>
  <c r="I443" i="5"/>
  <c r="G443" i="5"/>
  <c r="K443" i="5"/>
  <c r="J443" i="5"/>
  <c r="D443" i="5"/>
  <c r="A447" i="6"/>
  <c r="J447" i="5"/>
  <c r="G447" i="5"/>
  <c r="E447" i="5"/>
  <c r="D447" i="5"/>
  <c r="C447" i="5"/>
  <c r="B447" i="5"/>
  <c r="A457" i="6"/>
  <c r="K457" i="5"/>
  <c r="J457" i="5"/>
  <c r="I457" i="5"/>
  <c r="H457" i="5"/>
  <c r="J480" i="5"/>
  <c r="G75" i="6"/>
  <c r="E104" i="6"/>
  <c r="A287" i="6"/>
  <c r="G448" i="6"/>
  <c r="B448" i="6"/>
  <c r="H448" i="6"/>
  <c r="F448" i="6"/>
  <c r="C448" i="6"/>
  <c r="I448" i="6"/>
  <c r="E448" i="6"/>
  <c r="D448" i="6"/>
  <c r="J43" i="6"/>
  <c r="H43" i="6"/>
  <c r="E43" i="6"/>
  <c r="K43" i="6"/>
  <c r="I43" i="6"/>
  <c r="G43" i="6"/>
  <c r="D43" i="6"/>
  <c r="J91" i="6"/>
  <c r="H91" i="6"/>
  <c r="E91" i="6"/>
  <c r="K91" i="6"/>
  <c r="F91" i="6"/>
  <c r="D91" i="6"/>
  <c r="G91" i="6"/>
  <c r="C91" i="6"/>
  <c r="B91" i="6"/>
  <c r="I91" i="6"/>
  <c r="I115" i="6"/>
  <c r="H115" i="6"/>
  <c r="B115" i="6"/>
  <c r="K115" i="6"/>
  <c r="J115" i="6"/>
  <c r="C115" i="6"/>
  <c r="G115" i="6"/>
  <c r="E115" i="6"/>
  <c r="I140" i="6"/>
  <c r="H140" i="6"/>
  <c r="K140" i="6"/>
  <c r="F140" i="6"/>
  <c r="J140" i="6"/>
  <c r="E140" i="6"/>
  <c r="D177" i="6"/>
  <c r="C177" i="6"/>
  <c r="B177" i="6"/>
  <c r="F177" i="6"/>
  <c r="G177" i="6"/>
  <c r="E177" i="6"/>
  <c r="J177" i="6"/>
  <c r="I177" i="6"/>
  <c r="H177" i="6"/>
  <c r="K177" i="6"/>
  <c r="J184" i="6"/>
  <c r="B184" i="6"/>
  <c r="K184" i="6"/>
  <c r="H184" i="6"/>
  <c r="D184" i="6"/>
  <c r="F228" i="6"/>
  <c r="I228" i="6"/>
  <c r="H228" i="6"/>
  <c r="G228" i="6"/>
  <c r="J228" i="6"/>
  <c r="E228" i="6"/>
  <c r="K282" i="5"/>
  <c r="I282" i="5"/>
  <c r="A317" i="6"/>
  <c r="F317" i="5"/>
  <c r="B317" i="5"/>
  <c r="A363" i="6"/>
  <c r="D363" i="5"/>
  <c r="H363" i="5"/>
  <c r="G363" i="5"/>
  <c r="F363" i="5"/>
  <c r="E363" i="5"/>
  <c r="A370" i="6"/>
  <c r="I370" i="5"/>
  <c r="H370" i="5"/>
  <c r="G370" i="5"/>
  <c r="F370" i="5"/>
  <c r="D370" i="5"/>
  <c r="K484" i="5"/>
  <c r="H484" i="5"/>
  <c r="A484" i="6"/>
  <c r="J484" i="5"/>
  <c r="I484" i="5"/>
  <c r="G484" i="5"/>
  <c r="F484" i="5"/>
  <c r="H71" i="6"/>
  <c r="H75" i="6"/>
  <c r="C80" i="6"/>
  <c r="D99" i="6"/>
  <c r="F104" i="6"/>
  <c r="D228" i="6"/>
  <c r="K324" i="6"/>
  <c r="C324" i="6"/>
  <c r="J324" i="6"/>
  <c r="F324" i="6"/>
  <c r="E324" i="6"/>
  <c r="G324" i="6"/>
  <c r="D324" i="6"/>
  <c r="B324" i="6"/>
  <c r="G376" i="6"/>
  <c r="F376" i="6"/>
  <c r="C376" i="6"/>
  <c r="K376" i="6"/>
  <c r="H376" i="6"/>
  <c r="E376" i="6"/>
  <c r="D376" i="6"/>
  <c r="I30" i="6"/>
  <c r="G30" i="6"/>
  <c r="D30" i="6"/>
  <c r="C30" i="6"/>
  <c r="B30" i="6"/>
  <c r="B43" i="5"/>
  <c r="I54" i="6"/>
  <c r="G54" i="6"/>
  <c r="D54" i="6"/>
  <c r="E54" i="6"/>
  <c r="H54" i="6"/>
  <c r="F54" i="6"/>
  <c r="C54" i="6"/>
  <c r="B54" i="6"/>
  <c r="I78" i="6"/>
  <c r="G78" i="6"/>
  <c r="D78" i="6"/>
  <c r="B78" i="6"/>
  <c r="B91" i="5"/>
  <c r="B115" i="5"/>
  <c r="D126" i="6"/>
  <c r="C126" i="6"/>
  <c r="E126" i="6"/>
  <c r="B126" i="6"/>
  <c r="B140" i="5"/>
  <c r="A167" i="6"/>
  <c r="K167" i="5"/>
  <c r="B177" i="5"/>
  <c r="B184" i="5"/>
  <c r="A189" i="6"/>
  <c r="K189" i="5"/>
  <c r="I189" i="5"/>
  <c r="K199" i="6"/>
  <c r="J199" i="6"/>
  <c r="I199" i="6"/>
  <c r="B199" i="6"/>
  <c r="C199" i="6"/>
  <c r="D199" i="6"/>
  <c r="B228" i="5"/>
  <c r="B282" i="5"/>
  <c r="A304" i="6"/>
  <c r="K304" i="5"/>
  <c r="I304" i="5"/>
  <c r="G310" i="5"/>
  <c r="K310" i="5"/>
  <c r="J310" i="5"/>
  <c r="H310" i="5"/>
  <c r="C310" i="5"/>
  <c r="C317" i="5"/>
  <c r="A345" i="6"/>
  <c r="J345" i="5"/>
  <c r="F345" i="5"/>
  <c r="G345" i="5"/>
  <c r="B363" i="5"/>
  <c r="B370" i="5"/>
  <c r="A421" i="6"/>
  <c r="J421" i="5"/>
  <c r="H421" i="5"/>
  <c r="E421" i="5"/>
  <c r="G421" i="5"/>
  <c r="F421" i="5"/>
  <c r="A481" i="6"/>
  <c r="K481" i="5"/>
  <c r="J481" i="5"/>
  <c r="I481" i="5"/>
  <c r="G481" i="5"/>
  <c r="B484" i="5"/>
  <c r="F30" i="6"/>
  <c r="K71" i="6"/>
  <c r="D80" i="6"/>
  <c r="E99" i="6"/>
  <c r="G104" i="6"/>
  <c r="K228" i="6"/>
  <c r="H324" i="6"/>
  <c r="B376" i="6"/>
  <c r="A362" i="6"/>
  <c r="K362" i="5"/>
  <c r="A384" i="6"/>
  <c r="I384" i="5"/>
  <c r="K384" i="5"/>
  <c r="J384" i="5"/>
  <c r="H384" i="5"/>
  <c r="G384" i="5"/>
  <c r="A409" i="6"/>
  <c r="H409" i="5"/>
  <c r="E409" i="5"/>
  <c r="D409" i="5"/>
  <c r="J409" i="5"/>
  <c r="I409" i="5"/>
  <c r="G409" i="5"/>
  <c r="F409" i="5"/>
  <c r="A434" i="6"/>
  <c r="K434" i="5"/>
  <c r="I434" i="5"/>
  <c r="F434" i="5"/>
  <c r="B434" i="5"/>
  <c r="A458" i="6"/>
  <c r="K458" i="5"/>
  <c r="I458" i="5"/>
  <c r="F458" i="5"/>
  <c r="H458" i="5"/>
  <c r="D458" i="5"/>
  <c r="C458" i="5"/>
  <c r="J181" i="6"/>
  <c r="I181" i="6"/>
  <c r="H181" i="6"/>
  <c r="G181" i="6"/>
  <c r="K181" i="6"/>
  <c r="F181" i="6"/>
  <c r="E181" i="6"/>
  <c r="K205" i="6"/>
  <c r="J205" i="6"/>
  <c r="I205" i="6"/>
  <c r="B205" i="6"/>
  <c r="D205" i="6"/>
  <c r="E205" i="6"/>
  <c r="G205" i="6"/>
  <c r="C229" i="6"/>
  <c r="B229" i="6"/>
  <c r="G229" i="6"/>
  <c r="F229" i="6"/>
  <c r="E229" i="6"/>
  <c r="D229" i="6"/>
  <c r="K229" i="6"/>
  <c r="H229" i="6"/>
  <c r="J229" i="6"/>
  <c r="K273" i="6"/>
  <c r="J273" i="6"/>
  <c r="G273" i="6"/>
  <c r="F273" i="6"/>
  <c r="E273" i="6"/>
  <c r="H273" i="6"/>
  <c r="D273" i="6"/>
  <c r="I273" i="6"/>
  <c r="B273" i="6"/>
  <c r="C273" i="6"/>
  <c r="K295" i="6"/>
  <c r="J295" i="6"/>
  <c r="G295" i="6"/>
  <c r="F295" i="6"/>
  <c r="E295" i="6"/>
  <c r="B295" i="6"/>
  <c r="H295" i="6"/>
  <c r="D295" i="6"/>
  <c r="C295" i="6"/>
  <c r="A319" i="6"/>
  <c r="H319" i="5"/>
  <c r="D319" i="5"/>
  <c r="A346" i="6"/>
  <c r="K346" i="5"/>
  <c r="E362" i="5"/>
  <c r="A371" i="6"/>
  <c r="H371" i="5"/>
  <c r="E384" i="5"/>
  <c r="A403" i="6"/>
  <c r="K403" i="5"/>
  <c r="J403" i="5"/>
  <c r="I403" i="5"/>
  <c r="H403" i="5"/>
  <c r="G403" i="5"/>
  <c r="A410" i="6"/>
  <c r="K410" i="5"/>
  <c r="I410" i="5"/>
  <c r="F410" i="5"/>
  <c r="G434" i="5"/>
  <c r="J458" i="5"/>
  <c r="D465" i="6"/>
  <c r="K465" i="6"/>
  <c r="J465" i="6"/>
  <c r="B465" i="6"/>
  <c r="H465" i="6"/>
  <c r="I465" i="6"/>
  <c r="G465" i="6"/>
  <c r="F465" i="6"/>
  <c r="E465" i="6"/>
  <c r="C465" i="6"/>
  <c r="A470" i="6"/>
  <c r="J470" i="5"/>
  <c r="G470" i="5"/>
  <c r="F470" i="5"/>
  <c r="C166" i="6"/>
  <c r="C133" i="5"/>
  <c r="F155" i="6"/>
  <c r="G155" i="6"/>
  <c r="E155" i="6"/>
  <c r="H155" i="6"/>
  <c r="C155" i="6"/>
  <c r="C157" i="5"/>
  <c r="G179" i="6"/>
  <c r="F179" i="6"/>
  <c r="E179" i="6"/>
  <c r="D179" i="6"/>
  <c r="H179" i="6"/>
  <c r="C179" i="6"/>
  <c r="I179" i="6"/>
  <c r="C181" i="5"/>
  <c r="K203" i="6"/>
  <c r="H203" i="6"/>
  <c r="G203" i="6"/>
  <c r="F203" i="6"/>
  <c r="C205" i="5"/>
  <c r="D227" i="6"/>
  <c r="E227" i="6"/>
  <c r="B227" i="6"/>
  <c r="K227" i="6"/>
  <c r="I227" i="6"/>
  <c r="G227" i="6"/>
  <c r="F227" i="6"/>
  <c r="C227" i="6"/>
  <c r="C229" i="5"/>
  <c r="A261" i="6"/>
  <c r="G261" i="5"/>
  <c r="D261" i="5"/>
  <c r="C273" i="5"/>
  <c r="C295" i="5"/>
  <c r="C319" i="5"/>
  <c r="A332" i="6"/>
  <c r="I332" i="5"/>
  <c r="E332" i="5"/>
  <c r="K332" i="5"/>
  <c r="J332" i="5"/>
  <c r="H332" i="5"/>
  <c r="C346" i="5"/>
  <c r="G362" i="5"/>
  <c r="C371" i="5"/>
  <c r="C403" i="5"/>
  <c r="C410" i="5"/>
  <c r="A425" i="6"/>
  <c r="I425" i="5"/>
  <c r="H425" i="5"/>
  <c r="G425" i="5"/>
  <c r="F425" i="5"/>
  <c r="E425" i="5"/>
  <c r="J434" i="5"/>
  <c r="A438" i="6"/>
  <c r="J438" i="5"/>
  <c r="I438" i="5"/>
  <c r="H438" i="5"/>
  <c r="C470" i="5"/>
  <c r="A486" i="6"/>
  <c r="J486" i="5"/>
  <c r="I155" i="6"/>
  <c r="J179" i="6"/>
  <c r="K142" i="6"/>
  <c r="C142" i="6"/>
  <c r="B142" i="6"/>
  <c r="B155" i="5"/>
  <c r="F166" i="6"/>
  <c r="J166" i="6"/>
  <c r="G166" i="6"/>
  <c r="K166" i="6"/>
  <c r="E166" i="6"/>
  <c r="D166" i="6"/>
  <c r="K190" i="6"/>
  <c r="J190" i="6"/>
  <c r="I190" i="6"/>
  <c r="H190" i="6"/>
  <c r="D190" i="6"/>
  <c r="C190" i="6"/>
  <c r="F190" i="6"/>
  <c r="G190" i="6"/>
  <c r="K214" i="6"/>
  <c r="J214" i="6"/>
  <c r="C214" i="6"/>
  <c r="B214" i="6"/>
  <c r="H214" i="6"/>
  <c r="I214" i="6"/>
  <c r="G214" i="6"/>
  <c r="E214" i="6"/>
  <c r="D214" i="6"/>
  <c r="J238" i="6"/>
  <c r="I238" i="6"/>
  <c r="H238" i="6"/>
  <c r="G238" i="6"/>
  <c r="B238" i="6"/>
  <c r="D247" i="6"/>
  <c r="C247" i="6"/>
  <c r="B247" i="6"/>
  <c r="I247" i="6"/>
  <c r="E247" i="6"/>
  <c r="K247" i="6"/>
  <c r="H247" i="6"/>
  <c r="A283" i="6"/>
  <c r="E283" i="5"/>
  <c r="D283" i="5"/>
  <c r="B283" i="5"/>
  <c r="K293" i="6"/>
  <c r="G293" i="6"/>
  <c r="F293" i="6"/>
  <c r="B293" i="6"/>
  <c r="H293" i="6"/>
  <c r="D293" i="6"/>
  <c r="I293" i="6"/>
  <c r="J293" i="6"/>
  <c r="A338" i="6"/>
  <c r="K338" i="5"/>
  <c r="I360" i="5"/>
  <c r="K360" i="5"/>
  <c r="H362" i="5"/>
  <c r="A379" i="6"/>
  <c r="K379" i="5"/>
  <c r="J379" i="5"/>
  <c r="I379" i="5"/>
  <c r="H379" i="5"/>
  <c r="D403" i="5"/>
  <c r="D410" i="5"/>
  <c r="K435" i="6"/>
  <c r="F435" i="6"/>
  <c r="H435" i="6"/>
  <c r="E435" i="6"/>
  <c r="B435" i="6"/>
  <c r="J435" i="6"/>
  <c r="D435" i="6"/>
  <c r="G435" i="6"/>
  <c r="B438" i="5"/>
  <c r="D470" i="5"/>
  <c r="A473" i="6"/>
  <c r="I473" i="5"/>
  <c r="C473" i="5"/>
  <c r="J473" i="5"/>
  <c r="H473" i="5"/>
  <c r="G473" i="5"/>
  <c r="F473" i="5"/>
  <c r="B486" i="5"/>
  <c r="J155" i="6"/>
  <c r="K179" i="6"/>
  <c r="C205" i="6"/>
  <c r="I322" i="6"/>
  <c r="H322" i="6"/>
  <c r="G322" i="6"/>
  <c r="F322" i="6"/>
  <c r="J322" i="6"/>
  <c r="E322" i="6"/>
  <c r="D322" i="6"/>
  <c r="C322" i="6"/>
  <c r="B322" i="6"/>
  <c r="K322" i="6"/>
  <c r="A335" i="6"/>
  <c r="E335" i="5"/>
  <c r="D335" i="5"/>
  <c r="C335" i="5"/>
  <c r="B335" i="5"/>
  <c r="I362" i="5"/>
  <c r="C483" i="5"/>
  <c r="A483" i="6"/>
  <c r="A495" i="6"/>
  <c r="J495" i="5"/>
  <c r="G495" i="5"/>
  <c r="C495" i="5"/>
  <c r="K495" i="5"/>
  <c r="I495" i="5"/>
  <c r="H495" i="5"/>
  <c r="F495" i="5"/>
  <c r="K155" i="6"/>
  <c r="F205" i="6"/>
  <c r="G352" i="6"/>
  <c r="K352" i="6"/>
  <c r="H352" i="6"/>
  <c r="F352" i="6"/>
  <c r="E352" i="6"/>
  <c r="D352" i="6"/>
  <c r="I352" i="6"/>
  <c r="C352" i="6"/>
  <c r="B352" i="6"/>
  <c r="J352" i="6"/>
  <c r="B322" i="5"/>
  <c r="F335" i="5"/>
  <c r="A349" i="6"/>
  <c r="J349" i="5"/>
  <c r="F349" i="5"/>
  <c r="E349" i="5"/>
  <c r="D349" i="5"/>
  <c r="C349" i="5"/>
  <c r="A382" i="6"/>
  <c r="G382" i="5"/>
  <c r="I382" i="5"/>
  <c r="H382" i="5"/>
  <c r="E382" i="5"/>
  <c r="D382" i="5"/>
  <c r="C382" i="5"/>
  <c r="B382" i="5"/>
  <c r="H205" i="6"/>
  <c r="B303" i="6"/>
  <c r="K270" i="6"/>
  <c r="H270" i="6"/>
  <c r="G270" i="6"/>
  <c r="F270" i="6"/>
  <c r="B270" i="6"/>
  <c r="I294" i="6"/>
  <c r="H294" i="6"/>
  <c r="G294" i="6"/>
  <c r="K294" i="6"/>
  <c r="E294" i="6"/>
  <c r="J294" i="6"/>
  <c r="F294" i="6"/>
  <c r="B294" i="6"/>
  <c r="A321" i="6"/>
  <c r="J321" i="5"/>
  <c r="F321" i="5"/>
  <c r="A401" i="6"/>
  <c r="I401" i="5"/>
  <c r="K401" i="5"/>
  <c r="J401" i="5"/>
  <c r="A423" i="6"/>
  <c r="J423" i="5"/>
  <c r="G423" i="5"/>
  <c r="A452" i="6"/>
  <c r="E452" i="5"/>
  <c r="C452" i="5"/>
  <c r="A471" i="6"/>
  <c r="J471" i="5"/>
  <c r="G471" i="5"/>
  <c r="K479" i="6"/>
  <c r="J479" i="6"/>
  <c r="G479" i="6"/>
  <c r="B479" i="6"/>
  <c r="E479" i="6"/>
  <c r="C479" i="6"/>
  <c r="I479" i="6"/>
  <c r="H479" i="6"/>
  <c r="F479" i="6"/>
  <c r="D479" i="6"/>
  <c r="F303" i="6"/>
  <c r="A326" i="6"/>
  <c r="G366" i="6"/>
  <c r="K305" i="6"/>
  <c r="G305" i="6"/>
  <c r="F305" i="6"/>
  <c r="E305" i="6"/>
  <c r="B305" i="6"/>
  <c r="D305" i="6"/>
  <c r="C305" i="6"/>
  <c r="H305" i="6"/>
  <c r="A347" i="6"/>
  <c r="H347" i="5"/>
  <c r="A361" i="6"/>
  <c r="B361" i="5"/>
  <c r="A455" i="6"/>
  <c r="J455" i="5"/>
  <c r="I455" i="5"/>
  <c r="I501" i="6"/>
  <c r="H501" i="6"/>
  <c r="F501" i="6"/>
  <c r="E501" i="6"/>
  <c r="K501" i="6"/>
  <c r="J501" i="6"/>
  <c r="G501" i="6"/>
  <c r="D501" i="6"/>
  <c r="C501" i="6"/>
  <c r="B501" i="6"/>
  <c r="C294" i="6"/>
  <c r="G303" i="6"/>
  <c r="K268" i="6"/>
  <c r="J268" i="6"/>
  <c r="C268" i="6"/>
  <c r="B268" i="6"/>
  <c r="I268" i="6"/>
  <c r="H268" i="6"/>
  <c r="E268" i="6"/>
  <c r="F268" i="6"/>
  <c r="D268" i="6"/>
  <c r="I292" i="6"/>
  <c r="F292" i="6"/>
  <c r="E292" i="6"/>
  <c r="D292" i="6"/>
  <c r="K292" i="6"/>
  <c r="G292" i="6"/>
  <c r="C292" i="6"/>
  <c r="B292" i="6"/>
  <c r="J292" i="6"/>
  <c r="H292" i="6"/>
  <c r="B305" i="5"/>
  <c r="B314" i="5"/>
  <c r="C340" i="6"/>
  <c r="K340" i="6"/>
  <c r="F340" i="6"/>
  <c r="B340" i="6"/>
  <c r="J340" i="6"/>
  <c r="I340" i="6"/>
  <c r="E340" i="6"/>
  <c r="H340" i="6"/>
  <c r="G340" i="6"/>
  <c r="B347" i="5"/>
  <c r="C361" i="5"/>
  <c r="E428" i="5"/>
  <c r="C428" i="5"/>
  <c r="K428" i="5"/>
  <c r="J428" i="5"/>
  <c r="B455" i="5"/>
  <c r="J466" i="6"/>
  <c r="I466" i="6"/>
  <c r="F466" i="6"/>
  <c r="H466" i="6"/>
  <c r="K466" i="6"/>
  <c r="E466" i="6"/>
  <c r="B466" i="6"/>
  <c r="G466" i="6"/>
  <c r="D466" i="6"/>
  <c r="C466" i="6"/>
  <c r="B501" i="5"/>
  <c r="D294" i="6"/>
  <c r="E478" i="6"/>
  <c r="C478" i="6"/>
  <c r="B478" i="6"/>
  <c r="J478" i="6"/>
  <c r="I478" i="6"/>
  <c r="H478" i="6"/>
  <c r="K478" i="6"/>
  <c r="D478" i="6"/>
  <c r="D246" i="5"/>
  <c r="G255" i="6"/>
  <c r="C255" i="6"/>
  <c r="B255" i="6"/>
  <c r="H255" i="6"/>
  <c r="F255" i="6"/>
  <c r="K255" i="6"/>
  <c r="I255" i="6"/>
  <c r="B268" i="5"/>
  <c r="D270" i="5"/>
  <c r="B292" i="5"/>
  <c r="D294" i="5"/>
  <c r="J303" i="6"/>
  <c r="I303" i="6"/>
  <c r="H303" i="6"/>
  <c r="C305" i="5"/>
  <c r="C314" i="5"/>
  <c r="D321" i="5"/>
  <c r="H333" i="6"/>
  <c r="K333" i="6"/>
  <c r="G333" i="6"/>
  <c r="F333" i="6"/>
  <c r="E333" i="6"/>
  <c r="B333" i="6"/>
  <c r="B340" i="5"/>
  <c r="C347" i="5"/>
  <c r="A354" i="6"/>
  <c r="G354" i="5"/>
  <c r="C354" i="5"/>
  <c r="D361" i="5"/>
  <c r="E366" i="6"/>
  <c r="B366" i="6"/>
  <c r="K366" i="6"/>
  <c r="J366" i="6"/>
  <c r="I366" i="6"/>
  <c r="D366" i="6"/>
  <c r="C366" i="6"/>
  <c r="A373" i="6"/>
  <c r="J373" i="5"/>
  <c r="A396" i="6"/>
  <c r="K396" i="5"/>
  <c r="D401" i="5"/>
  <c r="A407" i="6"/>
  <c r="C407" i="5"/>
  <c r="A418" i="6"/>
  <c r="K418" i="5"/>
  <c r="D423" i="5"/>
  <c r="B428" i="5"/>
  <c r="A431" i="6"/>
  <c r="H431" i="5"/>
  <c r="E431" i="5"/>
  <c r="D431" i="5"/>
  <c r="J442" i="6"/>
  <c r="I442" i="6"/>
  <c r="F442" i="6"/>
  <c r="C442" i="6"/>
  <c r="K442" i="6"/>
  <c r="H442" i="6"/>
  <c r="G442" i="6"/>
  <c r="D442" i="6"/>
  <c r="E442" i="6"/>
  <c r="B442" i="6"/>
  <c r="F452" i="5"/>
  <c r="C455" i="5"/>
  <c r="A461" i="6"/>
  <c r="B461" i="5"/>
  <c r="D461" i="5"/>
  <c r="B466" i="5"/>
  <c r="D471" i="5"/>
  <c r="D479" i="5"/>
  <c r="A482" i="6"/>
  <c r="K482" i="5"/>
  <c r="I482" i="5"/>
  <c r="F482" i="5"/>
  <c r="J482" i="5"/>
  <c r="H482" i="5"/>
  <c r="A493" i="6"/>
  <c r="J493" i="5"/>
  <c r="H493" i="5"/>
  <c r="E493" i="5"/>
  <c r="C501" i="5"/>
  <c r="F478" i="6"/>
  <c r="K428" i="6"/>
  <c r="C428" i="6"/>
  <c r="F428" i="6"/>
  <c r="B428" i="6"/>
  <c r="J428" i="6"/>
  <c r="G428" i="6"/>
  <c r="I428" i="6"/>
  <c r="H428" i="6"/>
  <c r="E428" i="6"/>
  <c r="D428" i="6"/>
  <c r="J305" i="6"/>
  <c r="G328" i="6"/>
  <c r="F328" i="6"/>
  <c r="C328" i="6"/>
  <c r="B328" i="6"/>
  <c r="H328" i="6"/>
  <c r="I328" i="6"/>
  <c r="E328" i="6"/>
  <c r="D328" i="6"/>
  <c r="G424" i="6"/>
  <c r="I424" i="6"/>
  <c r="K424" i="6"/>
  <c r="J424" i="6"/>
  <c r="E424" i="6"/>
  <c r="D424" i="6"/>
  <c r="C424" i="6"/>
  <c r="H424" i="6"/>
  <c r="G496" i="6"/>
  <c r="K496" i="6"/>
  <c r="F496" i="6"/>
  <c r="E496" i="6"/>
  <c r="B496" i="6"/>
  <c r="H496" i="6"/>
  <c r="D496" i="6"/>
  <c r="C496" i="6"/>
  <c r="I385" i="6"/>
  <c r="D385" i="6"/>
  <c r="F385" i="6"/>
  <c r="H385" i="6"/>
  <c r="G385" i="6"/>
  <c r="E385" i="6"/>
  <c r="K385" i="6"/>
  <c r="J385" i="6"/>
  <c r="A397" i="6"/>
  <c r="J397" i="5"/>
  <c r="H397" i="5"/>
  <c r="E397" i="5"/>
  <c r="A419" i="6"/>
  <c r="H419" i="5"/>
  <c r="F419" i="5"/>
  <c r="C419" i="5"/>
  <c r="J490" i="6"/>
  <c r="I490" i="6"/>
  <c r="G490" i="6"/>
  <c r="F490" i="6"/>
  <c r="K490" i="6"/>
  <c r="D490" i="6"/>
  <c r="C490" i="6"/>
  <c r="B490" i="6"/>
  <c r="H490" i="6"/>
  <c r="I496" i="6"/>
  <c r="K348" i="6"/>
  <c r="C348" i="6"/>
  <c r="B348" i="6"/>
  <c r="I348" i="6"/>
  <c r="H348" i="6"/>
  <c r="G348" i="6"/>
  <c r="D348" i="6"/>
  <c r="F348" i="6"/>
  <c r="E348" i="6"/>
  <c r="K372" i="6"/>
  <c r="H372" i="6"/>
  <c r="C372" i="6"/>
  <c r="G372" i="6"/>
  <c r="F372" i="6"/>
  <c r="E372" i="6"/>
  <c r="D372" i="6"/>
  <c r="B372" i="6"/>
  <c r="J372" i="6"/>
  <c r="I372" i="6"/>
  <c r="D385" i="5"/>
  <c r="D397" i="5"/>
  <c r="E419" i="5"/>
  <c r="J422" i="6"/>
  <c r="E422" i="6"/>
  <c r="K422" i="6"/>
  <c r="G422" i="6"/>
  <c r="I422" i="6"/>
  <c r="B422" i="6"/>
  <c r="C422" i="6"/>
  <c r="K444" i="6"/>
  <c r="H444" i="6"/>
  <c r="C444" i="6"/>
  <c r="G444" i="6"/>
  <c r="I444" i="6"/>
  <c r="E444" i="6"/>
  <c r="F444" i="6"/>
  <c r="D444" i="6"/>
  <c r="B444" i="6"/>
  <c r="G478" i="5"/>
  <c r="E478" i="5"/>
  <c r="B478" i="5"/>
  <c r="D490" i="5"/>
  <c r="A500" i="6"/>
  <c r="E500" i="5"/>
  <c r="C500" i="5"/>
  <c r="K328" i="6"/>
  <c r="C400" i="6"/>
  <c r="D393" i="6"/>
  <c r="F393" i="6"/>
  <c r="B393" i="6"/>
  <c r="K393" i="6"/>
  <c r="H393" i="6"/>
  <c r="G393" i="6"/>
  <c r="E393" i="6"/>
  <c r="D417" i="6"/>
  <c r="F417" i="6"/>
  <c r="B417" i="6"/>
  <c r="I417" i="6"/>
  <c r="G417" i="6"/>
  <c r="K417" i="6"/>
  <c r="E417" i="6"/>
  <c r="D441" i="6"/>
  <c r="J441" i="6"/>
  <c r="H441" i="6"/>
  <c r="F441" i="6"/>
  <c r="B441" i="6"/>
  <c r="E441" i="6"/>
  <c r="I402" i="6"/>
  <c r="E402" i="6"/>
  <c r="B402" i="6"/>
  <c r="K402" i="6"/>
  <c r="J402" i="6"/>
  <c r="F402" i="6"/>
  <c r="H402" i="6"/>
  <c r="G402" i="6"/>
  <c r="I426" i="6"/>
  <c r="H426" i="6"/>
  <c r="F426" i="6"/>
  <c r="C426" i="6"/>
  <c r="B426" i="6"/>
  <c r="D426" i="6"/>
  <c r="G426" i="6"/>
  <c r="I450" i="6"/>
  <c r="G450" i="6"/>
  <c r="F450" i="6"/>
  <c r="C450" i="6"/>
  <c r="K450" i="6"/>
  <c r="E450" i="6"/>
  <c r="D450" i="6"/>
  <c r="B450" i="6"/>
  <c r="I474" i="6"/>
  <c r="K474" i="6"/>
  <c r="J474" i="6"/>
  <c r="B474" i="6"/>
  <c r="I498" i="6"/>
  <c r="J498" i="6"/>
  <c r="G498" i="6"/>
  <c r="D498" i="6"/>
  <c r="C498" i="6"/>
  <c r="B498" i="6"/>
  <c r="F498" i="6"/>
  <c r="E498" i="6"/>
  <c r="D489" i="6"/>
  <c r="C489" i="6"/>
  <c r="B489" i="6"/>
  <c r="E489" i="6"/>
  <c r="J489" i="6"/>
  <c r="G489" i="6"/>
  <c r="F489" i="6"/>
  <c r="F393" i="5"/>
  <c r="G400" i="6"/>
  <c r="J400" i="6"/>
  <c r="F400" i="6"/>
  <c r="C402" i="5"/>
  <c r="F417" i="5"/>
  <c r="C426" i="5"/>
  <c r="F441" i="5"/>
  <c r="C450" i="5"/>
  <c r="G472" i="6"/>
  <c r="H472" i="6"/>
  <c r="F472" i="6"/>
  <c r="C472" i="6"/>
  <c r="K472" i="6"/>
  <c r="E472" i="6"/>
  <c r="D472" i="6"/>
  <c r="B472" i="6"/>
  <c r="I472" i="6"/>
  <c r="C474" i="5"/>
  <c r="C498" i="5"/>
  <c r="H489" i="6"/>
  <c r="K10" i="6" l="1"/>
  <c r="J10" i="6"/>
  <c r="J359" i="6"/>
  <c r="G359" i="6"/>
  <c r="B359" i="6"/>
  <c r="K359" i="6"/>
  <c r="I359" i="6"/>
  <c r="H359" i="6"/>
  <c r="D359" i="6"/>
  <c r="C359" i="6"/>
  <c r="E359" i="6"/>
  <c r="F359" i="6"/>
  <c r="G127" i="6"/>
  <c r="B127" i="6"/>
  <c r="K127" i="6"/>
  <c r="H127" i="6"/>
  <c r="J127" i="6"/>
  <c r="I127" i="6"/>
  <c r="F127" i="6"/>
  <c r="E127" i="6"/>
  <c r="D127" i="6"/>
  <c r="C127" i="6"/>
  <c r="J136" i="6"/>
  <c r="H136" i="6"/>
  <c r="C136" i="6"/>
  <c r="B136" i="6"/>
  <c r="I136" i="6"/>
  <c r="G136" i="6"/>
  <c r="K136" i="6"/>
  <c r="D136" i="6"/>
  <c r="F136" i="6"/>
  <c r="E136" i="6"/>
  <c r="K363" i="6"/>
  <c r="F363" i="6"/>
  <c r="E363" i="6"/>
  <c r="B363" i="6"/>
  <c r="J363" i="6"/>
  <c r="H363" i="6"/>
  <c r="I363" i="6"/>
  <c r="G363" i="6"/>
  <c r="D363" i="6"/>
  <c r="C363" i="6"/>
  <c r="B164" i="6"/>
  <c r="I164" i="6"/>
  <c r="H164" i="6"/>
  <c r="E164" i="6"/>
  <c r="D164" i="6"/>
  <c r="C164" i="6"/>
  <c r="G164" i="6"/>
  <c r="F164" i="6"/>
  <c r="K164" i="6"/>
  <c r="J164" i="6"/>
  <c r="H349" i="6"/>
  <c r="J349" i="6"/>
  <c r="I349" i="6"/>
  <c r="G349" i="6"/>
  <c r="K349" i="6"/>
  <c r="F349" i="6"/>
  <c r="E349" i="6"/>
  <c r="B349" i="6"/>
  <c r="D349" i="6"/>
  <c r="C349" i="6"/>
  <c r="E222" i="6"/>
  <c r="D222" i="6"/>
  <c r="C222" i="6"/>
  <c r="H222" i="6"/>
  <c r="G222" i="6"/>
  <c r="I222" i="6"/>
  <c r="B222" i="6"/>
  <c r="K222" i="6"/>
  <c r="J222" i="6"/>
  <c r="F222" i="6"/>
  <c r="I330" i="6"/>
  <c r="F330" i="6"/>
  <c r="C330" i="6"/>
  <c r="K330" i="6"/>
  <c r="J330" i="6"/>
  <c r="H330" i="6"/>
  <c r="E330" i="6"/>
  <c r="B330" i="6"/>
  <c r="G330" i="6"/>
  <c r="D330" i="6"/>
  <c r="H392" i="6"/>
  <c r="G392" i="6"/>
  <c r="D392" i="6"/>
  <c r="I392" i="6"/>
  <c r="C392" i="6"/>
  <c r="K392" i="6"/>
  <c r="F392" i="6"/>
  <c r="J392" i="6"/>
  <c r="E392" i="6"/>
  <c r="B392" i="6"/>
  <c r="G121" i="6"/>
  <c r="B121" i="6"/>
  <c r="I121" i="6"/>
  <c r="E121" i="6"/>
  <c r="D121" i="6"/>
  <c r="K121" i="6"/>
  <c r="C121" i="6"/>
  <c r="J121" i="6"/>
  <c r="H121" i="6"/>
  <c r="F121" i="6"/>
  <c r="K266" i="6"/>
  <c r="G266" i="6"/>
  <c r="F266" i="6"/>
  <c r="I266" i="6"/>
  <c r="D266" i="6"/>
  <c r="B266" i="6"/>
  <c r="E266" i="6"/>
  <c r="C266" i="6"/>
  <c r="J266" i="6"/>
  <c r="H266" i="6"/>
  <c r="K223" i="6"/>
  <c r="D223" i="6"/>
  <c r="C223" i="6"/>
  <c r="B223" i="6"/>
  <c r="F223" i="6"/>
  <c r="J223" i="6"/>
  <c r="I223" i="6"/>
  <c r="H223" i="6"/>
  <c r="G223" i="6"/>
  <c r="E223" i="6"/>
  <c r="K312" i="6"/>
  <c r="J312" i="6"/>
  <c r="I312" i="6"/>
  <c r="G312" i="6"/>
  <c r="F312" i="6"/>
  <c r="H312" i="6"/>
  <c r="D312" i="6"/>
  <c r="E312" i="6"/>
  <c r="B312" i="6"/>
  <c r="C312" i="6"/>
  <c r="H485" i="6"/>
  <c r="K485" i="6"/>
  <c r="G485" i="6"/>
  <c r="E485" i="6"/>
  <c r="B485" i="6"/>
  <c r="J485" i="6"/>
  <c r="I485" i="6"/>
  <c r="F485" i="6"/>
  <c r="C485" i="6"/>
  <c r="D485" i="6"/>
  <c r="B35" i="6"/>
  <c r="J35" i="6"/>
  <c r="C35" i="6"/>
  <c r="K35" i="6"/>
  <c r="F35" i="6"/>
  <c r="E35" i="6"/>
  <c r="G35" i="6"/>
  <c r="D35" i="6"/>
  <c r="H35" i="6"/>
  <c r="I35" i="6"/>
  <c r="I405" i="6"/>
  <c r="H405" i="6"/>
  <c r="E405" i="6"/>
  <c r="D405" i="6"/>
  <c r="K405" i="6"/>
  <c r="C405" i="6"/>
  <c r="J405" i="6"/>
  <c r="B405" i="6"/>
  <c r="G405" i="6"/>
  <c r="F405" i="6"/>
  <c r="K431" i="6"/>
  <c r="J431" i="6"/>
  <c r="G431" i="6"/>
  <c r="B431" i="6"/>
  <c r="C431" i="6"/>
  <c r="D431" i="6"/>
  <c r="I431" i="6"/>
  <c r="H431" i="6"/>
  <c r="E431" i="6"/>
  <c r="F431" i="6"/>
  <c r="D253" i="6"/>
  <c r="J253" i="6"/>
  <c r="H253" i="6"/>
  <c r="G253" i="6"/>
  <c r="F253" i="6"/>
  <c r="E253" i="6"/>
  <c r="C253" i="6"/>
  <c r="B253" i="6"/>
  <c r="I253" i="6"/>
  <c r="K253" i="6"/>
  <c r="I219" i="6"/>
  <c r="K219" i="6"/>
  <c r="G219" i="6"/>
  <c r="F219" i="6"/>
  <c r="E219" i="6"/>
  <c r="D219" i="6"/>
  <c r="C219" i="6"/>
  <c r="B219" i="6"/>
  <c r="H219" i="6"/>
  <c r="J219" i="6"/>
  <c r="G103" i="6"/>
  <c r="F103" i="6"/>
  <c r="K103" i="6"/>
  <c r="J103" i="6"/>
  <c r="C103" i="6"/>
  <c r="B103" i="6"/>
  <c r="I103" i="6"/>
  <c r="H103" i="6"/>
  <c r="D103" i="6"/>
  <c r="E103" i="6"/>
  <c r="H182" i="6"/>
  <c r="J182" i="6"/>
  <c r="D182" i="6"/>
  <c r="C182" i="6"/>
  <c r="I182" i="6"/>
  <c r="F182" i="6"/>
  <c r="K182" i="6"/>
  <c r="B182" i="6"/>
  <c r="G182" i="6"/>
  <c r="E182" i="6"/>
  <c r="E161" i="6"/>
  <c r="D161" i="6"/>
  <c r="C161" i="6"/>
  <c r="B161" i="6"/>
  <c r="J161" i="6"/>
  <c r="I161" i="6"/>
  <c r="H161" i="6"/>
  <c r="G161" i="6"/>
  <c r="F161" i="6"/>
  <c r="K161" i="6"/>
  <c r="E473" i="6"/>
  <c r="D473" i="6"/>
  <c r="C473" i="6"/>
  <c r="F473" i="6"/>
  <c r="K473" i="6"/>
  <c r="J473" i="6"/>
  <c r="I473" i="6"/>
  <c r="H473" i="6"/>
  <c r="G473" i="6"/>
  <c r="B473" i="6"/>
  <c r="I346" i="6"/>
  <c r="K346" i="6"/>
  <c r="H346" i="6"/>
  <c r="J346" i="6"/>
  <c r="G346" i="6"/>
  <c r="E346" i="6"/>
  <c r="D346" i="6"/>
  <c r="C346" i="6"/>
  <c r="F346" i="6"/>
  <c r="B346" i="6"/>
  <c r="B327" i="6"/>
  <c r="J327" i="6"/>
  <c r="H327" i="6"/>
  <c r="K327" i="6"/>
  <c r="G327" i="6"/>
  <c r="F327" i="6"/>
  <c r="I327" i="6"/>
  <c r="D327" i="6"/>
  <c r="C327" i="6"/>
  <c r="E327" i="6"/>
  <c r="K151" i="6"/>
  <c r="F151" i="6"/>
  <c r="D151" i="6"/>
  <c r="G151" i="6"/>
  <c r="C151" i="6"/>
  <c r="E151" i="6"/>
  <c r="B151" i="6"/>
  <c r="J151" i="6"/>
  <c r="I151" i="6"/>
  <c r="H151" i="6"/>
  <c r="F323" i="6"/>
  <c r="B323" i="6"/>
  <c r="J323" i="6"/>
  <c r="I323" i="6"/>
  <c r="E323" i="6"/>
  <c r="K323" i="6"/>
  <c r="H323" i="6"/>
  <c r="G323" i="6"/>
  <c r="D323" i="6"/>
  <c r="C323" i="6"/>
  <c r="B209" i="6"/>
  <c r="G209" i="6"/>
  <c r="E209" i="6"/>
  <c r="F209" i="6"/>
  <c r="D209" i="6"/>
  <c r="K209" i="6"/>
  <c r="J209" i="6"/>
  <c r="C209" i="6"/>
  <c r="I209" i="6"/>
  <c r="H209" i="6"/>
  <c r="G368" i="6"/>
  <c r="D368" i="6"/>
  <c r="I368" i="6"/>
  <c r="E368" i="6"/>
  <c r="C368" i="6"/>
  <c r="K368" i="6"/>
  <c r="F368" i="6"/>
  <c r="B368" i="6"/>
  <c r="H368" i="6"/>
  <c r="J368" i="6"/>
  <c r="C168" i="6"/>
  <c r="B168" i="6"/>
  <c r="H168" i="6"/>
  <c r="G168" i="6"/>
  <c r="F168" i="6"/>
  <c r="E168" i="6"/>
  <c r="D168" i="6"/>
  <c r="K168" i="6"/>
  <c r="J168" i="6"/>
  <c r="I168" i="6"/>
  <c r="J6" i="6"/>
  <c r="B20" i="7" s="1"/>
  <c r="G427" i="6"/>
  <c r="F427" i="6"/>
  <c r="C427" i="6"/>
  <c r="I427" i="6"/>
  <c r="H427" i="6"/>
  <c r="E427" i="6"/>
  <c r="D427" i="6"/>
  <c r="B427" i="6"/>
  <c r="K427" i="6"/>
  <c r="J427" i="6"/>
  <c r="K70" i="6"/>
  <c r="J70" i="6"/>
  <c r="I70" i="6"/>
  <c r="G70" i="6"/>
  <c r="C70" i="6"/>
  <c r="H70" i="6"/>
  <c r="F70" i="6"/>
  <c r="D70" i="6"/>
  <c r="E70" i="6"/>
  <c r="B70" i="6"/>
  <c r="I147" i="6"/>
  <c r="G147" i="6"/>
  <c r="F147" i="6"/>
  <c r="H147" i="6"/>
  <c r="E147" i="6"/>
  <c r="K147" i="6"/>
  <c r="J147" i="6"/>
  <c r="D147" i="6"/>
  <c r="C147" i="6"/>
  <c r="B147" i="6"/>
  <c r="J84" i="6"/>
  <c r="D84" i="6"/>
  <c r="K84" i="6"/>
  <c r="I84" i="6"/>
  <c r="H84" i="6"/>
  <c r="G84" i="6"/>
  <c r="E84" i="6"/>
  <c r="F84" i="6"/>
  <c r="C84" i="6"/>
  <c r="B84" i="6"/>
  <c r="J129" i="6"/>
  <c r="E129" i="6"/>
  <c r="D129" i="6"/>
  <c r="K129" i="6"/>
  <c r="I129" i="6"/>
  <c r="H129" i="6"/>
  <c r="B129" i="6"/>
  <c r="G129" i="6"/>
  <c r="C129" i="6"/>
  <c r="F129" i="6"/>
  <c r="G403" i="6"/>
  <c r="F403" i="6"/>
  <c r="C403" i="6"/>
  <c r="I403" i="6"/>
  <c r="D403" i="6"/>
  <c r="H403" i="6"/>
  <c r="K403" i="6"/>
  <c r="J403" i="6"/>
  <c r="E403" i="6"/>
  <c r="B403" i="6"/>
  <c r="I433" i="6"/>
  <c r="D433" i="6"/>
  <c r="K433" i="6"/>
  <c r="G433" i="6"/>
  <c r="H433" i="6"/>
  <c r="B433" i="6"/>
  <c r="J433" i="6"/>
  <c r="F433" i="6"/>
  <c r="E433" i="6"/>
  <c r="C433" i="6"/>
  <c r="C105" i="6"/>
  <c r="J105" i="6"/>
  <c r="I105" i="6"/>
  <c r="H105" i="6"/>
  <c r="E105" i="6"/>
  <c r="D105" i="6"/>
  <c r="K105" i="6"/>
  <c r="G105" i="6"/>
  <c r="F105" i="6"/>
  <c r="B105" i="6"/>
  <c r="F132" i="6"/>
  <c r="B132" i="6"/>
  <c r="J132" i="6"/>
  <c r="K132" i="6"/>
  <c r="G132" i="6"/>
  <c r="H132" i="6"/>
  <c r="E132" i="6"/>
  <c r="I132" i="6"/>
  <c r="D132" i="6"/>
  <c r="C132" i="6"/>
  <c r="H317" i="6"/>
  <c r="J317" i="6"/>
  <c r="F317" i="6"/>
  <c r="E317" i="6"/>
  <c r="D317" i="6"/>
  <c r="K317" i="6"/>
  <c r="C317" i="6"/>
  <c r="B317" i="6"/>
  <c r="I317" i="6"/>
  <c r="G317" i="6"/>
  <c r="J257" i="6"/>
  <c r="F257" i="6"/>
  <c r="E257" i="6"/>
  <c r="I257" i="6"/>
  <c r="H257" i="6"/>
  <c r="G257" i="6"/>
  <c r="B257" i="6"/>
  <c r="D257" i="6"/>
  <c r="K257" i="6"/>
  <c r="C257" i="6"/>
  <c r="G499" i="6"/>
  <c r="F499" i="6"/>
  <c r="D499" i="6"/>
  <c r="C499" i="6"/>
  <c r="I499" i="6"/>
  <c r="J499" i="6"/>
  <c r="K499" i="6"/>
  <c r="H499" i="6"/>
  <c r="E499" i="6"/>
  <c r="B499" i="6"/>
  <c r="I361" i="6"/>
  <c r="D361" i="6"/>
  <c r="G361" i="6"/>
  <c r="C361" i="6"/>
  <c r="B361" i="6"/>
  <c r="H361" i="6"/>
  <c r="E361" i="6"/>
  <c r="K361" i="6"/>
  <c r="J361" i="6"/>
  <c r="F361" i="6"/>
  <c r="I362" i="6"/>
  <c r="K362" i="6"/>
  <c r="C362" i="6"/>
  <c r="J362" i="6"/>
  <c r="B362" i="6"/>
  <c r="G362" i="6"/>
  <c r="H362" i="6"/>
  <c r="D362" i="6"/>
  <c r="F362" i="6"/>
  <c r="E362" i="6"/>
  <c r="F290" i="6"/>
  <c r="C290" i="6"/>
  <c r="B290" i="6"/>
  <c r="K290" i="6"/>
  <c r="J290" i="6"/>
  <c r="D290" i="6"/>
  <c r="I290" i="6"/>
  <c r="H290" i="6"/>
  <c r="G290" i="6"/>
  <c r="E290" i="6"/>
  <c r="K404" i="6"/>
  <c r="C404" i="6"/>
  <c r="J404" i="6"/>
  <c r="I404" i="6"/>
  <c r="B404" i="6"/>
  <c r="E404" i="6"/>
  <c r="D404" i="6"/>
  <c r="G404" i="6"/>
  <c r="F404" i="6"/>
  <c r="H404" i="6"/>
  <c r="H469" i="6"/>
  <c r="K469" i="6"/>
  <c r="J469" i="6"/>
  <c r="F469" i="6"/>
  <c r="I469" i="6"/>
  <c r="D469" i="6"/>
  <c r="C469" i="6"/>
  <c r="B469" i="6"/>
  <c r="G469" i="6"/>
  <c r="E469" i="6"/>
  <c r="H188" i="6"/>
  <c r="G188" i="6"/>
  <c r="F188" i="6"/>
  <c r="E188" i="6"/>
  <c r="B188" i="6"/>
  <c r="J188" i="6"/>
  <c r="C188" i="6"/>
  <c r="I188" i="6"/>
  <c r="D188" i="6"/>
  <c r="K188" i="6"/>
  <c r="G217" i="6"/>
  <c r="J217" i="6"/>
  <c r="I217" i="6"/>
  <c r="H217" i="6"/>
  <c r="D217" i="6"/>
  <c r="C217" i="6"/>
  <c r="B217" i="6"/>
  <c r="F217" i="6"/>
  <c r="E217" i="6"/>
  <c r="K217" i="6"/>
  <c r="J8" i="6"/>
  <c r="B224" i="6"/>
  <c r="H224" i="6"/>
  <c r="G224" i="6"/>
  <c r="F224" i="6"/>
  <c r="C224" i="6"/>
  <c r="K224" i="6"/>
  <c r="I224" i="6"/>
  <c r="D224" i="6"/>
  <c r="J224" i="6"/>
  <c r="E224" i="6"/>
  <c r="I13" i="6"/>
  <c r="K13" i="6"/>
  <c r="F44" i="6"/>
  <c r="C44" i="6"/>
  <c r="B44" i="6"/>
  <c r="E44" i="6"/>
  <c r="D44" i="6"/>
  <c r="K44" i="6"/>
  <c r="G44" i="6"/>
  <c r="J44" i="6"/>
  <c r="I44" i="6"/>
  <c r="H44" i="6"/>
  <c r="F252" i="6"/>
  <c r="K252" i="6"/>
  <c r="J252" i="6"/>
  <c r="E252" i="6"/>
  <c r="D252" i="6"/>
  <c r="C252" i="6"/>
  <c r="I252" i="6"/>
  <c r="H252" i="6"/>
  <c r="B252" i="6"/>
  <c r="G252" i="6"/>
  <c r="H65" i="6"/>
  <c r="F65" i="6"/>
  <c r="C65" i="6"/>
  <c r="K65" i="6"/>
  <c r="J65" i="6"/>
  <c r="I65" i="6"/>
  <c r="G65" i="6"/>
  <c r="B65" i="6"/>
  <c r="E65" i="6"/>
  <c r="D65" i="6"/>
  <c r="J256" i="6"/>
  <c r="K256" i="6"/>
  <c r="I256" i="6"/>
  <c r="H256" i="6"/>
  <c r="G256" i="6"/>
  <c r="F256" i="6"/>
  <c r="B256" i="6"/>
  <c r="E256" i="6"/>
  <c r="D256" i="6"/>
  <c r="C256" i="6"/>
  <c r="C495" i="6"/>
  <c r="B495" i="6"/>
  <c r="J495" i="6"/>
  <c r="H495" i="6"/>
  <c r="F495" i="6"/>
  <c r="I495" i="6"/>
  <c r="G495" i="6"/>
  <c r="E495" i="6"/>
  <c r="K495" i="6"/>
  <c r="D495" i="6"/>
  <c r="K137" i="6"/>
  <c r="H137" i="6"/>
  <c r="G137" i="6"/>
  <c r="J137" i="6"/>
  <c r="I137" i="6"/>
  <c r="F137" i="6"/>
  <c r="E137" i="6"/>
  <c r="C137" i="6"/>
  <c r="D137" i="6"/>
  <c r="B137" i="6"/>
  <c r="J60" i="6"/>
  <c r="C60" i="6"/>
  <c r="B60" i="6"/>
  <c r="K60" i="6"/>
  <c r="I60" i="6"/>
  <c r="H60" i="6"/>
  <c r="F60" i="6"/>
  <c r="E60" i="6"/>
  <c r="G60" i="6"/>
  <c r="D60" i="6"/>
  <c r="F462" i="6"/>
  <c r="E462" i="6"/>
  <c r="B462" i="6"/>
  <c r="K462" i="6"/>
  <c r="J462" i="6"/>
  <c r="H462" i="6"/>
  <c r="G462" i="6"/>
  <c r="D462" i="6"/>
  <c r="I462" i="6"/>
  <c r="C462" i="6"/>
  <c r="F355" i="6"/>
  <c r="C355" i="6"/>
  <c r="H355" i="6"/>
  <c r="D355" i="6"/>
  <c r="K355" i="6"/>
  <c r="G355" i="6"/>
  <c r="E355" i="6"/>
  <c r="B355" i="6"/>
  <c r="J355" i="6"/>
  <c r="I355" i="6"/>
  <c r="C213" i="6"/>
  <c r="D213" i="6"/>
  <c r="B213" i="6"/>
  <c r="K213" i="6"/>
  <c r="I213" i="6"/>
  <c r="G213" i="6"/>
  <c r="H213" i="6"/>
  <c r="E213" i="6"/>
  <c r="J213" i="6"/>
  <c r="F213" i="6"/>
  <c r="K455" i="6"/>
  <c r="J455" i="6"/>
  <c r="G455" i="6"/>
  <c r="B455" i="6"/>
  <c r="H455" i="6"/>
  <c r="F455" i="6"/>
  <c r="E455" i="6"/>
  <c r="I455" i="6"/>
  <c r="D455" i="6"/>
  <c r="C455" i="6"/>
  <c r="C189" i="6"/>
  <c r="I189" i="6"/>
  <c r="H189" i="6"/>
  <c r="K189" i="6"/>
  <c r="J189" i="6"/>
  <c r="B189" i="6"/>
  <c r="E189" i="6"/>
  <c r="G189" i="6"/>
  <c r="F189" i="6"/>
  <c r="D189" i="6"/>
  <c r="K356" i="6"/>
  <c r="C356" i="6"/>
  <c r="J356" i="6"/>
  <c r="H356" i="6"/>
  <c r="G356" i="6"/>
  <c r="F356" i="6"/>
  <c r="B356" i="6"/>
  <c r="D356" i="6"/>
  <c r="I356" i="6"/>
  <c r="E356" i="6"/>
  <c r="I315" i="6"/>
  <c r="F315" i="6"/>
  <c r="C315" i="6"/>
  <c r="B315" i="6"/>
  <c r="G315" i="6"/>
  <c r="E315" i="6"/>
  <c r="D315" i="6"/>
  <c r="K315" i="6"/>
  <c r="J315" i="6"/>
  <c r="H315" i="6"/>
  <c r="B482" i="6"/>
  <c r="I482" i="6"/>
  <c r="G482" i="6"/>
  <c r="E482" i="6"/>
  <c r="C482" i="6"/>
  <c r="J482" i="6"/>
  <c r="H482" i="6"/>
  <c r="F482" i="6"/>
  <c r="D482" i="6"/>
  <c r="K482" i="6"/>
  <c r="D337" i="6"/>
  <c r="K337" i="6"/>
  <c r="H337" i="6"/>
  <c r="G337" i="6"/>
  <c r="F337" i="6"/>
  <c r="B337" i="6"/>
  <c r="J337" i="6"/>
  <c r="I337" i="6"/>
  <c r="E337" i="6"/>
  <c r="C337" i="6"/>
  <c r="B248" i="6"/>
  <c r="I248" i="6"/>
  <c r="E248" i="6"/>
  <c r="D248" i="6"/>
  <c r="C248" i="6"/>
  <c r="J248" i="6"/>
  <c r="F248" i="6"/>
  <c r="K248" i="6"/>
  <c r="H248" i="6"/>
  <c r="G248" i="6"/>
  <c r="K459" i="6"/>
  <c r="F459" i="6"/>
  <c r="J459" i="6"/>
  <c r="I459" i="6"/>
  <c r="H459" i="6"/>
  <c r="G459" i="6"/>
  <c r="E459" i="6"/>
  <c r="D459" i="6"/>
  <c r="C459" i="6"/>
  <c r="B459" i="6"/>
  <c r="C309" i="6"/>
  <c r="K309" i="6"/>
  <c r="J309" i="6"/>
  <c r="F309" i="6"/>
  <c r="E309" i="6"/>
  <c r="D309" i="6"/>
  <c r="B309" i="6"/>
  <c r="H309" i="6"/>
  <c r="G309" i="6"/>
  <c r="I309" i="6"/>
  <c r="H264" i="6"/>
  <c r="D264" i="6"/>
  <c r="C264" i="6"/>
  <c r="K264" i="6"/>
  <c r="J264" i="6"/>
  <c r="B264" i="6"/>
  <c r="E264" i="6"/>
  <c r="F264" i="6"/>
  <c r="G264" i="6"/>
  <c r="I264" i="6"/>
  <c r="K38" i="6"/>
  <c r="J38" i="6"/>
  <c r="I38" i="6"/>
  <c r="H38" i="6"/>
  <c r="G38" i="6"/>
  <c r="E38" i="6"/>
  <c r="D38" i="6"/>
  <c r="B38" i="6"/>
  <c r="C38" i="6"/>
  <c r="F38" i="6"/>
  <c r="C72" i="6"/>
  <c r="I72" i="6"/>
  <c r="E72" i="6"/>
  <c r="D72" i="6"/>
  <c r="H72" i="6"/>
  <c r="G72" i="6"/>
  <c r="F72" i="6"/>
  <c r="B72" i="6"/>
  <c r="K72" i="6"/>
  <c r="J72" i="6"/>
  <c r="G12" i="6"/>
  <c r="B12" i="6"/>
  <c r="H12" i="6"/>
  <c r="D12" i="6"/>
  <c r="E12" i="6"/>
  <c r="F12" i="6"/>
  <c r="H302" i="6"/>
  <c r="D302" i="6"/>
  <c r="G302" i="6"/>
  <c r="F302" i="6"/>
  <c r="E302" i="6"/>
  <c r="I302" i="6"/>
  <c r="C302" i="6"/>
  <c r="B302" i="6"/>
  <c r="K302" i="6"/>
  <c r="J302" i="6"/>
  <c r="K207" i="6"/>
  <c r="J207" i="6"/>
  <c r="I207" i="6"/>
  <c r="H207" i="6"/>
  <c r="G207" i="6"/>
  <c r="D207" i="6"/>
  <c r="E207" i="6"/>
  <c r="C207" i="6"/>
  <c r="B207" i="6"/>
  <c r="F207" i="6"/>
  <c r="D13" i="6"/>
  <c r="J13" i="6" s="1"/>
  <c r="B22" i="7" s="1"/>
  <c r="F144" i="6"/>
  <c r="E144" i="6"/>
  <c r="K144" i="6"/>
  <c r="I144" i="6"/>
  <c r="D144" i="6"/>
  <c r="C144" i="6"/>
  <c r="J144" i="6"/>
  <c r="H144" i="6"/>
  <c r="G144" i="6"/>
  <c r="B144" i="6"/>
  <c r="J124" i="6"/>
  <c r="I124" i="6"/>
  <c r="K124" i="6"/>
  <c r="F124" i="6"/>
  <c r="E124" i="6"/>
  <c r="H124" i="6"/>
  <c r="G124" i="6"/>
  <c r="D124" i="6"/>
  <c r="B124" i="6"/>
  <c r="C124" i="6"/>
  <c r="K210" i="6"/>
  <c r="J210" i="6"/>
  <c r="I210" i="6"/>
  <c r="F210" i="6"/>
  <c r="E210" i="6"/>
  <c r="D210" i="6"/>
  <c r="C210" i="6"/>
  <c r="B210" i="6"/>
  <c r="H210" i="6"/>
  <c r="G210" i="6"/>
  <c r="D297" i="6"/>
  <c r="C297" i="6"/>
  <c r="B297" i="6"/>
  <c r="E297" i="6"/>
  <c r="K297" i="6"/>
  <c r="J297" i="6"/>
  <c r="G297" i="6"/>
  <c r="F297" i="6"/>
  <c r="H297" i="6"/>
  <c r="I297" i="6"/>
  <c r="E146" i="6"/>
  <c r="C146" i="6"/>
  <c r="K146" i="6"/>
  <c r="G146" i="6"/>
  <c r="J146" i="6"/>
  <c r="H146" i="6"/>
  <c r="I146" i="6"/>
  <c r="F146" i="6"/>
  <c r="D146" i="6"/>
  <c r="B146" i="6"/>
  <c r="J394" i="6"/>
  <c r="I394" i="6"/>
  <c r="F394" i="6"/>
  <c r="C394" i="6"/>
  <c r="B394" i="6"/>
  <c r="H394" i="6"/>
  <c r="G394" i="6"/>
  <c r="E394" i="6"/>
  <c r="D394" i="6"/>
  <c r="K394" i="6"/>
  <c r="E74" i="6"/>
  <c r="C74" i="6"/>
  <c r="F74" i="6"/>
  <c r="H74" i="6"/>
  <c r="G74" i="6"/>
  <c r="D74" i="6"/>
  <c r="B74" i="6"/>
  <c r="K74" i="6"/>
  <c r="J74" i="6"/>
  <c r="I74" i="6"/>
  <c r="J19" i="6"/>
  <c r="H19" i="6"/>
  <c r="E19" i="6"/>
  <c r="F19" i="6"/>
  <c r="B19" i="6"/>
  <c r="K19" i="6"/>
  <c r="I19" i="6"/>
  <c r="G19" i="6"/>
  <c r="C19" i="6"/>
  <c r="D19" i="6"/>
  <c r="H493" i="6"/>
  <c r="D493" i="6"/>
  <c r="J493" i="6"/>
  <c r="I493" i="6"/>
  <c r="G493" i="6"/>
  <c r="F493" i="6"/>
  <c r="E493" i="6"/>
  <c r="C493" i="6"/>
  <c r="B493" i="6"/>
  <c r="K493" i="6"/>
  <c r="K62" i="6"/>
  <c r="J62" i="6"/>
  <c r="I62" i="6"/>
  <c r="H62" i="6"/>
  <c r="C62" i="6"/>
  <c r="B62" i="6"/>
  <c r="F62" i="6"/>
  <c r="G62" i="6"/>
  <c r="E62" i="6"/>
  <c r="D62" i="6"/>
  <c r="E215" i="6"/>
  <c r="G215" i="6"/>
  <c r="F215" i="6"/>
  <c r="D215" i="6"/>
  <c r="H215" i="6"/>
  <c r="C215" i="6"/>
  <c r="B215" i="6"/>
  <c r="K215" i="6"/>
  <c r="J215" i="6"/>
  <c r="I215" i="6"/>
  <c r="E449" i="6"/>
  <c r="D449" i="6"/>
  <c r="B449" i="6"/>
  <c r="G449" i="6"/>
  <c r="F449" i="6"/>
  <c r="K449" i="6"/>
  <c r="J449" i="6"/>
  <c r="I449" i="6"/>
  <c r="C449" i="6"/>
  <c r="H449" i="6"/>
  <c r="K380" i="6"/>
  <c r="C380" i="6"/>
  <c r="J380" i="6"/>
  <c r="H380" i="6"/>
  <c r="I380" i="6"/>
  <c r="E380" i="6"/>
  <c r="D380" i="6"/>
  <c r="B380" i="6"/>
  <c r="G380" i="6"/>
  <c r="F380" i="6"/>
  <c r="F371" i="6"/>
  <c r="D371" i="6"/>
  <c r="I371" i="6"/>
  <c r="C371" i="6"/>
  <c r="B371" i="6"/>
  <c r="K371" i="6"/>
  <c r="J371" i="6"/>
  <c r="H371" i="6"/>
  <c r="G371" i="6"/>
  <c r="E371" i="6"/>
  <c r="H421" i="6"/>
  <c r="I421" i="6"/>
  <c r="G421" i="6"/>
  <c r="D421" i="6"/>
  <c r="B421" i="6"/>
  <c r="K421" i="6"/>
  <c r="J421" i="6"/>
  <c r="F421" i="6"/>
  <c r="E421" i="6"/>
  <c r="C421" i="6"/>
  <c r="J258" i="6"/>
  <c r="G258" i="6"/>
  <c r="F258" i="6"/>
  <c r="H258" i="6"/>
  <c r="D258" i="6"/>
  <c r="C258" i="6"/>
  <c r="B258" i="6"/>
  <c r="K258" i="6"/>
  <c r="I258" i="6"/>
  <c r="E258" i="6"/>
  <c r="D353" i="6"/>
  <c r="B353" i="6"/>
  <c r="K353" i="6"/>
  <c r="H353" i="6"/>
  <c r="I353" i="6"/>
  <c r="G353" i="6"/>
  <c r="F353" i="6"/>
  <c r="E353" i="6"/>
  <c r="C353" i="6"/>
  <c r="J353" i="6"/>
  <c r="I338" i="6"/>
  <c r="K338" i="6"/>
  <c r="J338" i="6"/>
  <c r="C338" i="6"/>
  <c r="B338" i="6"/>
  <c r="E338" i="6"/>
  <c r="D338" i="6"/>
  <c r="H338" i="6"/>
  <c r="F338" i="6"/>
  <c r="G338" i="6"/>
  <c r="I457" i="6"/>
  <c r="D457" i="6"/>
  <c r="E457" i="6"/>
  <c r="B457" i="6"/>
  <c r="C457" i="6"/>
  <c r="K457" i="6"/>
  <c r="J457" i="6"/>
  <c r="F457" i="6"/>
  <c r="H457" i="6"/>
  <c r="G457" i="6"/>
  <c r="H437" i="6"/>
  <c r="K437" i="6"/>
  <c r="J437" i="6"/>
  <c r="E437" i="6"/>
  <c r="I437" i="6"/>
  <c r="C437" i="6"/>
  <c r="G437" i="6"/>
  <c r="F437" i="6"/>
  <c r="D437" i="6"/>
  <c r="B437" i="6"/>
  <c r="E497" i="6"/>
  <c r="D497" i="6"/>
  <c r="B497" i="6"/>
  <c r="K497" i="6"/>
  <c r="J497" i="6"/>
  <c r="G497" i="6"/>
  <c r="F497" i="6"/>
  <c r="I497" i="6"/>
  <c r="H497" i="6"/>
  <c r="C497" i="6"/>
  <c r="H163" i="6"/>
  <c r="G163" i="6"/>
  <c r="F163" i="6"/>
  <c r="E163" i="6"/>
  <c r="J163" i="6"/>
  <c r="K163" i="6"/>
  <c r="C163" i="6"/>
  <c r="B163" i="6"/>
  <c r="I163" i="6"/>
  <c r="D163" i="6"/>
  <c r="H17" i="6"/>
  <c r="F17" i="6"/>
  <c r="C17" i="6"/>
  <c r="G17" i="6"/>
  <c r="E17" i="6"/>
  <c r="D17" i="6"/>
  <c r="B17" i="6"/>
  <c r="I17" i="6"/>
  <c r="K17" i="6"/>
  <c r="J17" i="6"/>
  <c r="G384" i="6"/>
  <c r="E384" i="6"/>
  <c r="B384" i="6"/>
  <c r="F384" i="6"/>
  <c r="K384" i="6"/>
  <c r="H384" i="6"/>
  <c r="J384" i="6"/>
  <c r="I384" i="6"/>
  <c r="D384" i="6"/>
  <c r="C384" i="6"/>
  <c r="C92" i="6"/>
  <c r="B92" i="6"/>
  <c r="H92" i="6"/>
  <c r="G92" i="6"/>
  <c r="F92" i="6"/>
  <c r="K92" i="6"/>
  <c r="J92" i="6"/>
  <c r="I92" i="6"/>
  <c r="E92" i="6"/>
  <c r="D92" i="6"/>
  <c r="J114" i="6"/>
  <c r="G114" i="6"/>
  <c r="H114" i="6"/>
  <c r="F114" i="6"/>
  <c r="I114" i="6"/>
  <c r="E114" i="6"/>
  <c r="D114" i="6"/>
  <c r="C114" i="6"/>
  <c r="K114" i="6"/>
  <c r="B114" i="6"/>
  <c r="J418" i="6"/>
  <c r="I418" i="6"/>
  <c r="F418" i="6"/>
  <c r="G418" i="6"/>
  <c r="B418" i="6"/>
  <c r="E418" i="6"/>
  <c r="K418" i="6"/>
  <c r="H418" i="6"/>
  <c r="D418" i="6"/>
  <c r="C418" i="6"/>
  <c r="C471" i="6"/>
  <c r="B471" i="6"/>
  <c r="J471" i="6"/>
  <c r="K471" i="6"/>
  <c r="G471" i="6"/>
  <c r="I471" i="6"/>
  <c r="H471" i="6"/>
  <c r="D471" i="6"/>
  <c r="E471" i="6"/>
  <c r="F471" i="6"/>
  <c r="J319" i="6"/>
  <c r="B319" i="6"/>
  <c r="K319" i="6"/>
  <c r="D319" i="6"/>
  <c r="I319" i="6"/>
  <c r="G319" i="6"/>
  <c r="C319" i="6"/>
  <c r="F319" i="6"/>
  <c r="E319" i="6"/>
  <c r="H319" i="6"/>
  <c r="D345" i="6"/>
  <c r="F345" i="6"/>
  <c r="B345" i="6"/>
  <c r="K345" i="6"/>
  <c r="E345" i="6"/>
  <c r="C345" i="6"/>
  <c r="G345" i="6"/>
  <c r="J345" i="6"/>
  <c r="I345" i="6"/>
  <c r="H345" i="6"/>
  <c r="F414" i="6"/>
  <c r="E414" i="6"/>
  <c r="B414" i="6"/>
  <c r="I414" i="6"/>
  <c r="D414" i="6"/>
  <c r="J414" i="6"/>
  <c r="G414" i="6"/>
  <c r="K414" i="6"/>
  <c r="H414" i="6"/>
  <c r="C414" i="6"/>
  <c r="E64" i="6"/>
  <c r="B64" i="6"/>
  <c r="G64" i="6"/>
  <c r="F64" i="6"/>
  <c r="D64" i="6"/>
  <c r="C64" i="6"/>
  <c r="K64" i="6"/>
  <c r="H64" i="6"/>
  <c r="J64" i="6"/>
  <c r="I64" i="6"/>
  <c r="D377" i="6"/>
  <c r="J377" i="6"/>
  <c r="I377" i="6"/>
  <c r="F377" i="6"/>
  <c r="C377" i="6"/>
  <c r="B377" i="6"/>
  <c r="H377" i="6"/>
  <c r="K377" i="6"/>
  <c r="G377" i="6"/>
  <c r="E377" i="6"/>
  <c r="K25" i="6"/>
  <c r="J25" i="6"/>
  <c r="I25" i="6"/>
  <c r="H25" i="6"/>
  <c r="G25" i="6"/>
  <c r="E25" i="6"/>
  <c r="D25" i="6"/>
  <c r="C25" i="6"/>
  <c r="B25" i="6"/>
  <c r="F25" i="6"/>
  <c r="I243" i="6"/>
  <c r="J243" i="6"/>
  <c r="H243" i="6"/>
  <c r="B243" i="6"/>
  <c r="D243" i="6"/>
  <c r="C243" i="6"/>
  <c r="E243" i="6"/>
  <c r="F243" i="6"/>
  <c r="K243" i="6"/>
  <c r="G243" i="6"/>
  <c r="C242" i="6"/>
  <c r="B242" i="6"/>
  <c r="K242" i="6"/>
  <c r="J242" i="6"/>
  <c r="F242" i="6"/>
  <c r="E242" i="6"/>
  <c r="I242" i="6"/>
  <c r="G242" i="6"/>
  <c r="D242" i="6"/>
  <c r="H242" i="6"/>
  <c r="B200" i="6"/>
  <c r="I200" i="6"/>
  <c r="K200" i="6"/>
  <c r="J200" i="6"/>
  <c r="H200" i="6"/>
  <c r="D200" i="6"/>
  <c r="C200" i="6"/>
  <c r="E200" i="6"/>
  <c r="G200" i="6"/>
  <c r="F200" i="6"/>
  <c r="K194" i="6"/>
  <c r="I194" i="6"/>
  <c r="F194" i="6"/>
  <c r="H194" i="6"/>
  <c r="E194" i="6"/>
  <c r="B194" i="6"/>
  <c r="J194" i="6"/>
  <c r="G194" i="6"/>
  <c r="D194" i="6"/>
  <c r="C194" i="6"/>
  <c r="F379" i="6"/>
  <c r="C379" i="6"/>
  <c r="B379" i="6"/>
  <c r="K379" i="6"/>
  <c r="J379" i="6"/>
  <c r="I379" i="6"/>
  <c r="E379" i="6"/>
  <c r="H379" i="6"/>
  <c r="G379" i="6"/>
  <c r="D379" i="6"/>
  <c r="E425" i="6"/>
  <c r="D425" i="6"/>
  <c r="I425" i="6"/>
  <c r="F425" i="6"/>
  <c r="K425" i="6"/>
  <c r="C425" i="6"/>
  <c r="B425" i="6"/>
  <c r="G425" i="6"/>
  <c r="J425" i="6"/>
  <c r="H425" i="6"/>
  <c r="H365" i="6"/>
  <c r="I365" i="6"/>
  <c r="C365" i="6"/>
  <c r="B365" i="6"/>
  <c r="G365" i="6"/>
  <c r="D365" i="6"/>
  <c r="F365" i="6"/>
  <c r="K365" i="6"/>
  <c r="E365" i="6"/>
  <c r="J365" i="6"/>
  <c r="B220" i="6"/>
  <c r="F220" i="6"/>
  <c r="E220" i="6"/>
  <c r="D220" i="6"/>
  <c r="C220" i="6"/>
  <c r="K220" i="6"/>
  <c r="J220" i="6"/>
  <c r="I220" i="6"/>
  <c r="H220" i="6"/>
  <c r="G220" i="6"/>
  <c r="J391" i="6"/>
  <c r="B391" i="6"/>
  <c r="K391" i="6"/>
  <c r="I391" i="6"/>
  <c r="F391" i="6"/>
  <c r="H391" i="6"/>
  <c r="G391" i="6"/>
  <c r="E391" i="6"/>
  <c r="D391" i="6"/>
  <c r="C391" i="6"/>
  <c r="E150" i="6"/>
  <c r="J150" i="6"/>
  <c r="I150" i="6"/>
  <c r="F150" i="6"/>
  <c r="D150" i="6"/>
  <c r="C150" i="6"/>
  <c r="B150" i="6"/>
  <c r="G150" i="6"/>
  <c r="H150" i="6"/>
  <c r="K150" i="6"/>
  <c r="H341" i="6"/>
  <c r="I341" i="6"/>
  <c r="G341" i="6"/>
  <c r="F341" i="6"/>
  <c r="D341" i="6"/>
  <c r="K341" i="6"/>
  <c r="J341" i="6"/>
  <c r="E341" i="6"/>
  <c r="C341" i="6"/>
  <c r="B341" i="6"/>
  <c r="G480" i="6"/>
  <c r="K480" i="6"/>
  <c r="J480" i="6"/>
  <c r="F480" i="6"/>
  <c r="D480" i="6"/>
  <c r="C480" i="6"/>
  <c r="I480" i="6"/>
  <c r="H480" i="6"/>
  <c r="B480" i="6"/>
  <c r="E480" i="6"/>
  <c r="D106" i="6"/>
  <c r="K106" i="6"/>
  <c r="J106" i="6"/>
  <c r="I106" i="6"/>
  <c r="H106" i="6"/>
  <c r="G106" i="6"/>
  <c r="E106" i="6"/>
  <c r="F106" i="6"/>
  <c r="B106" i="6"/>
  <c r="C106" i="6"/>
  <c r="H308" i="6"/>
  <c r="E308" i="6"/>
  <c r="D308" i="6"/>
  <c r="C308" i="6"/>
  <c r="J308" i="6"/>
  <c r="I308" i="6"/>
  <c r="G308" i="6"/>
  <c r="K308" i="6"/>
  <c r="B308" i="6"/>
  <c r="F308" i="6"/>
  <c r="K483" i="6"/>
  <c r="F483" i="6"/>
  <c r="H483" i="6"/>
  <c r="G483" i="6"/>
  <c r="C483" i="6"/>
  <c r="I483" i="6"/>
  <c r="J483" i="6"/>
  <c r="B483" i="6"/>
  <c r="D483" i="6"/>
  <c r="E483" i="6"/>
  <c r="J463" i="6"/>
  <c r="B463" i="6"/>
  <c r="K463" i="6"/>
  <c r="G463" i="6"/>
  <c r="E463" i="6"/>
  <c r="I463" i="6"/>
  <c r="D463" i="6"/>
  <c r="C463" i="6"/>
  <c r="H463" i="6"/>
  <c r="F463" i="6"/>
  <c r="E143" i="6"/>
  <c r="G143" i="6"/>
  <c r="J143" i="6"/>
  <c r="H143" i="6"/>
  <c r="C143" i="6"/>
  <c r="D143" i="6"/>
  <c r="K143" i="6"/>
  <c r="I143" i="6"/>
  <c r="F143" i="6"/>
  <c r="B143" i="6"/>
  <c r="H234" i="6"/>
  <c r="G234" i="6"/>
  <c r="C234" i="6"/>
  <c r="B234" i="6"/>
  <c r="K234" i="6"/>
  <c r="D234" i="6"/>
  <c r="J234" i="6"/>
  <c r="F234" i="6"/>
  <c r="E234" i="6"/>
  <c r="I234" i="6"/>
  <c r="H134" i="6"/>
  <c r="E134" i="6"/>
  <c r="B134" i="6"/>
  <c r="K134" i="6"/>
  <c r="G134" i="6"/>
  <c r="F134" i="6"/>
  <c r="I134" i="6"/>
  <c r="J134" i="6"/>
  <c r="D134" i="6"/>
  <c r="C134" i="6"/>
  <c r="I195" i="6"/>
  <c r="F195" i="6"/>
  <c r="E195" i="6"/>
  <c r="D195" i="6"/>
  <c r="C195" i="6"/>
  <c r="K195" i="6"/>
  <c r="G195" i="6"/>
  <c r="J195" i="6"/>
  <c r="H195" i="6"/>
  <c r="B195" i="6"/>
  <c r="I354" i="6"/>
  <c r="F354" i="6"/>
  <c r="B354" i="6"/>
  <c r="C354" i="6"/>
  <c r="K354" i="6"/>
  <c r="J354" i="6"/>
  <c r="H354" i="6"/>
  <c r="G354" i="6"/>
  <c r="E354" i="6"/>
  <c r="D354" i="6"/>
  <c r="D130" i="6"/>
  <c r="I130" i="6"/>
  <c r="G130" i="6"/>
  <c r="C130" i="6"/>
  <c r="F130" i="6"/>
  <c r="E130" i="6"/>
  <c r="B130" i="6"/>
  <c r="K130" i="6"/>
  <c r="J130" i="6"/>
  <c r="H130" i="6"/>
  <c r="B296" i="6"/>
  <c r="K296" i="6"/>
  <c r="J296" i="6"/>
  <c r="H296" i="6"/>
  <c r="D296" i="6"/>
  <c r="C296" i="6"/>
  <c r="I296" i="6"/>
  <c r="G296" i="6"/>
  <c r="F296" i="6"/>
  <c r="E296" i="6"/>
  <c r="G344" i="6"/>
  <c r="I344" i="6"/>
  <c r="E344" i="6"/>
  <c r="D344" i="6"/>
  <c r="C344" i="6"/>
  <c r="J344" i="6"/>
  <c r="K344" i="6"/>
  <c r="H344" i="6"/>
  <c r="B344" i="6"/>
  <c r="F344" i="6"/>
  <c r="E342" i="6"/>
  <c r="K342" i="6"/>
  <c r="H342" i="6"/>
  <c r="J342" i="6"/>
  <c r="I342" i="6"/>
  <c r="G342" i="6"/>
  <c r="F342" i="6"/>
  <c r="D342" i="6"/>
  <c r="C342" i="6"/>
  <c r="B342" i="6"/>
  <c r="H10" i="6"/>
  <c r="I10" i="6" s="1"/>
  <c r="J240" i="6"/>
  <c r="G240" i="6"/>
  <c r="K240" i="6"/>
  <c r="I240" i="6"/>
  <c r="H240" i="6"/>
  <c r="C240" i="6"/>
  <c r="E240" i="6"/>
  <c r="F240" i="6"/>
  <c r="D240" i="6"/>
  <c r="B240" i="6"/>
  <c r="F347" i="6"/>
  <c r="K347" i="6"/>
  <c r="H347" i="6"/>
  <c r="E347" i="6"/>
  <c r="B347" i="6"/>
  <c r="G347" i="6"/>
  <c r="D347" i="6"/>
  <c r="J347" i="6"/>
  <c r="I347" i="6"/>
  <c r="C347" i="6"/>
  <c r="J335" i="6"/>
  <c r="B335" i="6"/>
  <c r="F335" i="6"/>
  <c r="C335" i="6"/>
  <c r="K335" i="6"/>
  <c r="I335" i="6"/>
  <c r="H335" i="6"/>
  <c r="E335" i="6"/>
  <c r="G335" i="6"/>
  <c r="D335" i="6"/>
  <c r="E167" i="6"/>
  <c r="K167" i="6"/>
  <c r="I167" i="6"/>
  <c r="H167" i="6"/>
  <c r="C167" i="6"/>
  <c r="J167" i="6"/>
  <c r="B167" i="6"/>
  <c r="G167" i="6"/>
  <c r="F167" i="6"/>
  <c r="D167" i="6"/>
  <c r="H325" i="6"/>
  <c r="F325" i="6"/>
  <c r="C325" i="6"/>
  <c r="J325" i="6"/>
  <c r="E325" i="6"/>
  <c r="D325" i="6"/>
  <c r="B325" i="6"/>
  <c r="I325" i="6"/>
  <c r="G325" i="6"/>
  <c r="K325" i="6"/>
  <c r="K476" i="6"/>
  <c r="C476" i="6"/>
  <c r="E476" i="6"/>
  <c r="B476" i="6"/>
  <c r="G476" i="6"/>
  <c r="F476" i="6"/>
  <c r="J476" i="6"/>
  <c r="D476" i="6"/>
  <c r="H476" i="6"/>
  <c r="I476" i="6"/>
  <c r="J280" i="6"/>
  <c r="K280" i="6"/>
  <c r="D280" i="6"/>
  <c r="G280" i="6"/>
  <c r="F280" i="6"/>
  <c r="E280" i="6"/>
  <c r="C280" i="6"/>
  <c r="I280" i="6"/>
  <c r="B280" i="6"/>
  <c r="H280" i="6"/>
  <c r="E306" i="6"/>
  <c r="B306" i="6"/>
  <c r="H306" i="6"/>
  <c r="G306" i="6"/>
  <c r="C306" i="6"/>
  <c r="I306" i="6"/>
  <c r="D306" i="6"/>
  <c r="K306" i="6"/>
  <c r="J306" i="6"/>
  <c r="F306" i="6"/>
  <c r="I55" i="6"/>
  <c r="E55" i="6"/>
  <c r="D55" i="6"/>
  <c r="K55" i="6"/>
  <c r="J55" i="6"/>
  <c r="H55" i="6"/>
  <c r="G55" i="6"/>
  <c r="F55" i="6"/>
  <c r="C55" i="6"/>
  <c r="B55" i="6"/>
  <c r="C116" i="6"/>
  <c r="D116" i="6"/>
  <c r="B116" i="6"/>
  <c r="F116" i="6"/>
  <c r="E116" i="6"/>
  <c r="G116" i="6"/>
  <c r="K116" i="6"/>
  <c r="H116" i="6"/>
  <c r="J116" i="6"/>
  <c r="I116" i="6"/>
  <c r="K332" i="6"/>
  <c r="C332" i="6"/>
  <c r="H332" i="6"/>
  <c r="J332" i="6"/>
  <c r="I332" i="6"/>
  <c r="G332" i="6"/>
  <c r="D332" i="6"/>
  <c r="B332" i="6"/>
  <c r="F332" i="6"/>
  <c r="E332" i="6"/>
  <c r="B458" i="6"/>
  <c r="I458" i="6"/>
  <c r="K458" i="6"/>
  <c r="J458" i="6"/>
  <c r="F458" i="6"/>
  <c r="C458" i="6"/>
  <c r="H458" i="6"/>
  <c r="D458" i="6"/>
  <c r="G458" i="6"/>
  <c r="E458" i="6"/>
  <c r="C364" i="6"/>
  <c r="K364" i="6"/>
  <c r="F364" i="6"/>
  <c r="B364" i="6"/>
  <c r="G364" i="6"/>
  <c r="E364" i="6"/>
  <c r="J364" i="6"/>
  <c r="D364" i="6"/>
  <c r="I364" i="6"/>
  <c r="H364" i="6"/>
  <c r="E262" i="6"/>
  <c r="K262" i="6"/>
  <c r="J262" i="6"/>
  <c r="I262" i="6"/>
  <c r="F262" i="6"/>
  <c r="D262" i="6"/>
  <c r="C262" i="6"/>
  <c r="B262" i="6"/>
  <c r="H262" i="6"/>
  <c r="G262" i="6"/>
  <c r="H18" i="6"/>
  <c r="K18" i="6"/>
  <c r="F18" i="6"/>
  <c r="E18" i="6"/>
  <c r="B18" i="6"/>
  <c r="J18" i="6"/>
  <c r="C18" i="6"/>
  <c r="G18" i="6"/>
  <c r="D18" i="6"/>
  <c r="I18" i="6"/>
  <c r="I477" i="6"/>
  <c r="H477" i="6"/>
  <c r="E477" i="6"/>
  <c r="J477" i="6"/>
  <c r="C477" i="6"/>
  <c r="B477" i="6"/>
  <c r="K477" i="6"/>
  <c r="G477" i="6"/>
  <c r="F477" i="6"/>
  <c r="D477" i="6"/>
  <c r="D329" i="6"/>
  <c r="C329" i="6"/>
  <c r="B329" i="6"/>
  <c r="K329" i="6"/>
  <c r="H329" i="6"/>
  <c r="J329" i="6"/>
  <c r="I329" i="6"/>
  <c r="F329" i="6"/>
  <c r="E329" i="6"/>
  <c r="G329" i="6"/>
  <c r="B351" i="6"/>
  <c r="J351" i="6"/>
  <c r="D351" i="6"/>
  <c r="I351" i="6"/>
  <c r="H351" i="6"/>
  <c r="G351" i="6"/>
  <c r="C351" i="6"/>
  <c r="K351" i="6"/>
  <c r="F351" i="6"/>
  <c r="E351" i="6"/>
  <c r="I453" i="6"/>
  <c r="H453" i="6"/>
  <c r="E453" i="6"/>
  <c r="D453" i="6"/>
  <c r="C453" i="6"/>
  <c r="J453" i="6"/>
  <c r="G453" i="6"/>
  <c r="F453" i="6"/>
  <c r="B453" i="6"/>
  <c r="K453" i="6"/>
  <c r="K34" i="6"/>
  <c r="H34" i="6"/>
  <c r="E34" i="6"/>
  <c r="B34" i="6"/>
  <c r="G34" i="6"/>
  <c r="F34" i="6"/>
  <c r="D34" i="6"/>
  <c r="C34" i="6"/>
  <c r="J34" i="6"/>
  <c r="I34" i="6"/>
  <c r="J90" i="6"/>
  <c r="F90" i="6"/>
  <c r="K90" i="6"/>
  <c r="E90" i="6"/>
  <c r="D90" i="6"/>
  <c r="H90" i="6"/>
  <c r="G90" i="6"/>
  <c r="C90" i="6"/>
  <c r="B90" i="6"/>
  <c r="I90" i="6"/>
  <c r="K407" i="6"/>
  <c r="J407" i="6"/>
  <c r="G407" i="6"/>
  <c r="B407" i="6"/>
  <c r="I407" i="6"/>
  <c r="D407" i="6"/>
  <c r="C407" i="6"/>
  <c r="E407" i="6"/>
  <c r="F407" i="6"/>
  <c r="H407" i="6"/>
  <c r="F486" i="6"/>
  <c r="E486" i="6"/>
  <c r="B486" i="6"/>
  <c r="G486" i="6"/>
  <c r="D486" i="6"/>
  <c r="J486" i="6"/>
  <c r="I486" i="6"/>
  <c r="H486" i="6"/>
  <c r="K486" i="6"/>
  <c r="C486" i="6"/>
  <c r="C447" i="6"/>
  <c r="B447" i="6"/>
  <c r="J447" i="6"/>
  <c r="K447" i="6"/>
  <c r="I447" i="6"/>
  <c r="F447" i="6"/>
  <c r="H447" i="6"/>
  <c r="D447" i="6"/>
  <c r="E447" i="6"/>
  <c r="G447" i="6"/>
  <c r="B235" i="6"/>
  <c r="K235" i="6"/>
  <c r="J235" i="6"/>
  <c r="I235" i="6"/>
  <c r="F235" i="6"/>
  <c r="H235" i="6"/>
  <c r="D235" i="6"/>
  <c r="C235" i="6"/>
  <c r="G235" i="6"/>
  <c r="E235" i="6"/>
  <c r="J446" i="6"/>
  <c r="E446" i="6"/>
  <c r="K446" i="6"/>
  <c r="I446" i="6"/>
  <c r="H446" i="6"/>
  <c r="F446" i="6"/>
  <c r="C446" i="6"/>
  <c r="B446" i="6"/>
  <c r="D446" i="6"/>
  <c r="G446" i="6"/>
  <c r="I291" i="6"/>
  <c r="D291" i="6"/>
  <c r="K291" i="6"/>
  <c r="J291" i="6"/>
  <c r="H291" i="6"/>
  <c r="F291" i="6"/>
  <c r="G291" i="6"/>
  <c r="E291" i="6"/>
  <c r="B291" i="6"/>
  <c r="C291" i="6"/>
  <c r="H230" i="6"/>
  <c r="F230" i="6"/>
  <c r="I230" i="6"/>
  <c r="B230" i="6"/>
  <c r="G230" i="6"/>
  <c r="D230" i="6"/>
  <c r="K230" i="6"/>
  <c r="C230" i="6"/>
  <c r="J230" i="6"/>
  <c r="E230" i="6"/>
  <c r="C285" i="6"/>
  <c r="K285" i="6"/>
  <c r="H285" i="6"/>
  <c r="G285" i="6"/>
  <c r="F285" i="6"/>
  <c r="D285" i="6"/>
  <c r="B285" i="6"/>
  <c r="E285" i="6"/>
  <c r="I285" i="6"/>
  <c r="J285" i="6"/>
  <c r="F29" i="6"/>
  <c r="C29" i="6"/>
  <c r="B29" i="6"/>
  <c r="K29" i="6"/>
  <c r="I29" i="6"/>
  <c r="D29" i="6"/>
  <c r="J29" i="6"/>
  <c r="H29" i="6"/>
  <c r="E29" i="6"/>
  <c r="G29" i="6"/>
  <c r="F491" i="6"/>
  <c r="K491" i="6"/>
  <c r="H491" i="6"/>
  <c r="J491" i="6"/>
  <c r="E491" i="6"/>
  <c r="D491" i="6"/>
  <c r="C491" i="6"/>
  <c r="I491" i="6"/>
  <c r="B491" i="6"/>
  <c r="G491" i="6"/>
  <c r="D178" i="6"/>
  <c r="I178" i="6"/>
  <c r="J178" i="6"/>
  <c r="G178" i="6"/>
  <c r="C178" i="6"/>
  <c r="B178" i="6"/>
  <c r="K178" i="6"/>
  <c r="H178" i="6"/>
  <c r="F178" i="6"/>
  <c r="E178" i="6"/>
  <c r="H111" i="6"/>
  <c r="C111" i="6"/>
  <c r="B111" i="6"/>
  <c r="J111" i="6"/>
  <c r="F111" i="6"/>
  <c r="E111" i="6"/>
  <c r="I111" i="6"/>
  <c r="G111" i="6"/>
  <c r="D111" i="6"/>
  <c r="K111" i="6"/>
  <c r="H440" i="6"/>
  <c r="G440" i="6"/>
  <c r="D440" i="6"/>
  <c r="K440" i="6"/>
  <c r="F440" i="6"/>
  <c r="E440" i="6"/>
  <c r="B440" i="6"/>
  <c r="C440" i="6"/>
  <c r="I440" i="6"/>
  <c r="J440" i="6"/>
  <c r="G265" i="6"/>
  <c r="F265" i="6"/>
  <c r="E265" i="6"/>
  <c r="D265" i="6"/>
  <c r="C265" i="6"/>
  <c r="K265" i="6"/>
  <c r="J265" i="6"/>
  <c r="I265" i="6"/>
  <c r="H265" i="6"/>
  <c r="B265" i="6"/>
  <c r="I4" i="5"/>
  <c r="B59" i="6"/>
  <c r="F59" i="6"/>
  <c r="C59" i="6"/>
  <c r="K59" i="6"/>
  <c r="I59" i="6"/>
  <c r="J59" i="6"/>
  <c r="D59" i="6"/>
  <c r="H59" i="6"/>
  <c r="G59" i="6"/>
  <c r="E59" i="6"/>
  <c r="C48" i="6"/>
  <c r="I48" i="6"/>
  <c r="H48" i="6"/>
  <c r="G48" i="6"/>
  <c r="F48" i="6"/>
  <c r="E48" i="6"/>
  <c r="D48" i="6"/>
  <c r="B48" i="6"/>
  <c r="J48" i="6"/>
  <c r="K48" i="6"/>
  <c r="K173" i="6"/>
  <c r="J173" i="6"/>
  <c r="D173" i="6"/>
  <c r="B173" i="6"/>
  <c r="H173" i="6"/>
  <c r="G173" i="6"/>
  <c r="F173" i="6"/>
  <c r="E173" i="6"/>
  <c r="I173" i="6"/>
  <c r="C173" i="6"/>
  <c r="J112" i="6"/>
  <c r="F112" i="6"/>
  <c r="D112" i="6"/>
  <c r="H112" i="6"/>
  <c r="G112" i="6"/>
  <c r="E112" i="6"/>
  <c r="I112" i="6"/>
  <c r="B112" i="6"/>
  <c r="C112" i="6"/>
  <c r="K112" i="6"/>
  <c r="C96" i="6"/>
  <c r="J96" i="6"/>
  <c r="I96" i="6"/>
  <c r="K96" i="6"/>
  <c r="H96" i="6"/>
  <c r="G96" i="6"/>
  <c r="F96" i="6"/>
  <c r="E96" i="6"/>
  <c r="D96" i="6"/>
  <c r="B96" i="6"/>
  <c r="K251" i="6"/>
  <c r="J251" i="6"/>
  <c r="I251" i="6"/>
  <c r="H251" i="6"/>
  <c r="C251" i="6"/>
  <c r="B251" i="6"/>
  <c r="F251" i="6"/>
  <c r="G251" i="6"/>
  <c r="E251" i="6"/>
  <c r="D251" i="6"/>
  <c r="G451" i="6"/>
  <c r="F451" i="6"/>
  <c r="C451" i="6"/>
  <c r="B451" i="6"/>
  <c r="K451" i="6"/>
  <c r="J451" i="6"/>
  <c r="H451" i="6"/>
  <c r="I451" i="6"/>
  <c r="D451" i="6"/>
  <c r="E451" i="6"/>
  <c r="I259" i="6"/>
  <c r="H259" i="6"/>
  <c r="J259" i="6"/>
  <c r="G259" i="6"/>
  <c r="F259" i="6"/>
  <c r="D259" i="6"/>
  <c r="C259" i="6"/>
  <c r="B259" i="6"/>
  <c r="K259" i="6"/>
  <c r="E259" i="6"/>
  <c r="B148" i="6"/>
  <c r="K148" i="6"/>
  <c r="I148" i="6"/>
  <c r="F148" i="6"/>
  <c r="D148" i="6"/>
  <c r="J148" i="6"/>
  <c r="E148" i="6"/>
  <c r="C148" i="6"/>
  <c r="G148" i="6"/>
  <c r="H148" i="6"/>
  <c r="J135" i="6"/>
  <c r="H135" i="6"/>
  <c r="E135" i="6"/>
  <c r="B135" i="6"/>
  <c r="F135" i="6"/>
  <c r="D135" i="6"/>
  <c r="C135" i="6"/>
  <c r="I135" i="6"/>
  <c r="G135" i="6"/>
  <c r="K135" i="6"/>
  <c r="F57" i="6"/>
  <c r="E57" i="6"/>
  <c r="D57" i="6"/>
  <c r="C57" i="6"/>
  <c r="J57" i="6"/>
  <c r="I57" i="6"/>
  <c r="H57" i="6"/>
  <c r="G57" i="6"/>
  <c r="K57" i="6"/>
  <c r="B57" i="6"/>
  <c r="E318" i="6"/>
  <c r="J318" i="6"/>
  <c r="F318" i="6"/>
  <c r="D318" i="6"/>
  <c r="C318" i="6"/>
  <c r="B318" i="6"/>
  <c r="H318" i="6"/>
  <c r="G318" i="6"/>
  <c r="K318" i="6"/>
  <c r="I318" i="6"/>
  <c r="F390" i="6"/>
  <c r="E390" i="6"/>
  <c r="B390" i="6"/>
  <c r="G390" i="6"/>
  <c r="C390" i="6"/>
  <c r="D390" i="6"/>
  <c r="K390" i="6"/>
  <c r="J390" i="6"/>
  <c r="I390" i="6"/>
  <c r="H390" i="6"/>
  <c r="H277" i="6"/>
  <c r="D277" i="6"/>
  <c r="C277" i="6"/>
  <c r="G277" i="6"/>
  <c r="F277" i="6"/>
  <c r="E277" i="6"/>
  <c r="J277" i="6"/>
  <c r="B277" i="6"/>
  <c r="I277" i="6"/>
  <c r="K277" i="6"/>
  <c r="K68" i="6"/>
  <c r="H68" i="6"/>
  <c r="G68" i="6"/>
  <c r="F68" i="6"/>
  <c r="E68" i="6"/>
  <c r="I68" i="6"/>
  <c r="J68" i="6"/>
  <c r="C68" i="6"/>
  <c r="B68" i="6"/>
  <c r="D68" i="6"/>
  <c r="F107" i="6"/>
  <c r="D107" i="6"/>
  <c r="E107" i="6"/>
  <c r="C107" i="6"/>
  <c r="B107" i="6"/>
  <c r="K107" i="6"/>
  <c r="G107" i="6"/>
  <c r="J107" i="6"/>
  <c r="I107" i="6"/>
  <c r="H107" i="6"/>
  <c r="K4" i="5"/>
  <c r="I120" i="6"/>
  <c r="D120" i="6"/>
  <c r="C120" i="6"/>
  <c r="E120" i="6"/>
  <c r="F120" i="6"/>
  <c r="B120" i="6"/>
  <c r="K120" i="6"/>
  <c r="J120" i="6"/>
  <c r="H120" i="6"/>
  <c r="G120" i="6"/>
  <c r="J12" i="5"/>
  <c r="C12" i="6" s="1"/>
  <c r="K46" i="6"/>
  <c r="H46" i="6"/>
  <c r="G46" i="6"/>
  <c r="J46" i="6"/>
  <c r="D46" i="6"/>
  <c r="I46" i="6"/>
  <c r="F46" i="6"/>
  <c r="C46" i="6"/>
  <c r="E46" i="6"/>
  <c r="B46" i="6"/>
  <c r="E20" i="7"/>
  <c r="C399" i="6"/>
  <c r="B399" i="6"/>
  <c r="J399" i="6"/>
  <c r="F399" i="6"/>
  <c r="G399" i="6"/>
  <c r="E399" i="6"/>
  <c r="I399" i="6"/>
  <c r="H399" i="6"/>
  <c r="D399" i="6"/>
  <c r="K399" i="6"/>
  <c r="K500" i="6"/>
  <c r="C500" i="6"/>
  <c r="I500" i="6"/>
  <c r="H500" i="6"/>
  <c r="E500" i="6"/>
  <c r="J500" i="6"/>
  <c r="D500" i="6"/>
  <c r="G500" i="6"/>
  <c r="F500" i="6"/>
  <c r="B500" i="6"/>
  <c r="K452" i="6"/>
  <c r="C452" i="6"/>
  <c r="J452" i="6"/>
  <c r="I452" i="6"/>
  <c r="E452" i="6"/>
  <c r="D452" i="6"/>
  <c r="H452" i="6"/>
  <c r="B452" i="6"/>
  <c r="G452" i="6"/>
  <c r="F452" i="6"/>
  <c r="D484" i="6"/>
  <c r="C484" i="6"/>
  <c r="K484" i="6"/>
  <c r="J484" i="6"/>
  <c r="I484" i="6"/>
  <c r="E484" i="6"/>
  <c r="B484" i="6"/>
  <c r="F484" i="6"/>
  <c r="G484" i="6"/>
  <c r="H484" i="6"/>
  <c r="H461" i="6"/>
  <c r="G461" i="6"/>
  <c r="F461" i="6"/>
  <c r="C461" i="6"/>
  <c r="B461" i="6"/>
  <c r="K461" i="6"/>
  <c r="J461" i="6"/>
  <c r="I461" i="6"/>
  <c r="D461" i="6"/>
  <c r="E461" i="6"/>
  <c r="F467" i="6"/>
  <c r="C467" i="6"/>
  <c r="B467" i="6"/>
  <c r="J467" i="6"/>
  <c r="H467" i="6"/>
  <c r="G467" i="6"/>
  <c r="E467" i="6"/>
  <c r="D467" i="6"/>
  <c r="K467" i="6"/>
  <c r="I467" i="6"/>
  <c r="J275" i="6"/>
  <c r="H275" i="6"/>
  <c r="G275" i="6"/>
  <c r="F275" i="6"/>
  <c r="E275" i="6"/>
  <c r="B275" i="6"/>
  <c r="K275" i="6"/>
  <c r="I275" i="6"/>
  <c r="D275" i="6"/>
  <c r="C275" i="6"/>
  <c r="C237" i="6"/>
  <c r="E237" i="6"/>
  <c r="I237" i="6"/>
  <c r="K237" i="6"/>
  <c r="J237" i="6"/>
  <c r="B237" i="6"/>
  <c r="G237" i="6"/>
  <c r="F237" i="6"/>
  <c r="D237" i="6"/>
  <c r="H237" i="6"/>
  <c r="G145" i="6"/>
  <c r="J145" i="6"/>
  <c r="D145" i="6"/>
  <c r="C145" i="6"/>
  <c r="K145" i="6"/>
  <c r="I145" i="6"/>
  <c r="H145" i="6"/>
  <c r="F145" i="6"/>
  <c r="B145" i="6"/>
  <c r="E145" i="6"/>
  <c r="E430" i="6"/>
  <c r="J430" i="6"/>
  <c r="B430" i="6"/>
  <c r="D430" i="6"/>
  <c r="C430" i="6"/>
  <c r="F430" i="6"/>
  <c r="K430" i="6"/>
  <c r="G430" i="6"/>
  <c r="H430" i="6"/>
  <c r="I430" i="6"/>
  <c r="B83" i="6"/>
  <c r="K83" i="6"/>
  <c r="I83" i="6"/>
  <c r="J83" i="6"/>
  <c r="E83" i="6"/>
  <c r="G83" i="6"/>
  <c r="F83" i="6"/>
  <c r="D83" i="6"/>
  <c r="H83" i="6"/>
  <c r="C83" i="6"/>
  <c r="J160" i="6"/>
  <c r="I160" i="6"/>
  <c r="D160" i="6"/>
  <c r="C160" i="6"/>
  <c r="H160" i="6"/>
  <c r="F160" i="6"/>
  <c r="G160" i="6"/>
  <c r="E160" i="6"/>
  <c r="K160" i="6"/>
  <c r="B160" i="6"/>
  <c r="G336" i="6"/>
  <c r="H336" i="6"/>
  <c r="D336" i="6"/>
  <c r="C336" i="6"/>
  <c r="B336" i="6"/>
  <c r="K336" i="6"/>
  <c r="J336" i="6"/>
  <c r="I336" i="6"/>
  <c r="F336" i="6"/>
  <c r="E336" i="6"/>
  <c r="G4" i="6"/>
  <c r="E4" i="6"/>
  <c r="B4" i="6"/>
  <c r="K4" i="6" s="1"/>
  <c r="H4" i="6"/>
  <c r="C4" i="6"/>
  <c r="J4" i="6" s="1"/>
  <c r="I4" i="6"/>
  <c r="F4" i="6"/>
  <c r="D4" i="6"/>
  <c r="I153" i="6"/>
  <c r="H153" i="6"/>
  <c r="G153" i="6"/>
  <c r="F153" i="6"/>
  <c r="E153" i="6"/>
  <c r="D153" i="6"/>
  <c r="K153" i="6"/>
  <c r="J153" i="6"/>
  <c r="C153" i="6"/>
  <c r="B153" i="6"/>
  <c r="D369" i="6"/>
  <c r="I369" i="6"/>
  <c r="H369" i="6"/>
  <c r="G369" i="6"/>
  <c r="B369" i="6"/>
  <c r="K369" i="6"/>
  <c r="J369" i="6"/>
  <c r="F369" i="6"/>
  <c r="E369" i="6"/>
  <c r="C369" i="6"/>
  <c r="D460" i="6"/>
  <c r="C460" i="6"/>
  <c r="K460" i="6"/>
  <c r="G460" i="6"/>
  <c r="E460" i="6"/>
  <c r="H460" i="6"/>
  <c r="F460" i="6"/>
  <c r="B460" i="6"/>
  <c r="J460" i="6"/>
  <c r="I460" i="6"/>
  <c r="C288" i="6"/>
  <c r="H288" i="6"/>
  <c r="D288" i="6"/>
  <c r="B288" i="6"/>
  <c r="G288" i="6"/>
  <c r="F288" i="6"/>
  <c r="E288" i="6"/>
  <c r="I288" i="6"/>
  <c r="K288" i="6"/>
  <c r="J288" i="6"/>
  <c r="J81" i="6"/>
  <c r="G81" i="6"/>
  <c r="F81" i="6"/>
  <c r="H81" i="6"/>
  <c r="E81" i="6"/>
  <c r="D81" i="6"/>
  <c r="C81" i="6"/>
  <c r="K81" i="6"/>
  <c r="I81" i="6"/>
  <c r="B81" i="6"/>
  <c r="I409" i="6"/>
  <c r="D409" i="6"/>
  <c r="B409" i="6"/>
  <c r="H409" i="6"/>
  <c r="F409" i="6"/>
  <c r="E409" i="6"/>
  <c r="C409" i="6"/>
  <c r="G409" i="6"/>
  <c r="K409" i="6"/>
  <c r="J409" i="6"/>
  <c r="H187" i="6"/>
  <c r="G187" i="6"/>
  <c r="B187" i="6"/>
  <c r="I187" i="6"/>
  <c r="E187" i="6"/>
  <c r="D187" i="6"/>
  <c r="C187" i="6"/>
  <c r="K187" i="6"/>
  <c r="J187" i="6"/>
  <c r="F187" i="6"/>
  <c r="J343" i="6"/>
  <c r="B343" i="6"/>
  <c r="K343" i="6"/>
  <c r="G343" i="6"/>
  <c r="I343" i="6"/>
  <c r="H343" i="6"/>
  <c r="F343" i="6"/>
  <c r="E343" i="6"/>
  <c r="C343" i="6"/>
  <c r="D343" i="6"/>
  <c r="F118" i="6"/>
  <c r="G118" i="6"/>
  <c r="E118" i="6"/>
  <c r="H118" i="6"/>
  <c r="B118" i="6"/>
  <c r="J118" i="6"/>
  <c r="I118" i="6"/>
  <c r="D118" i="6"/>
  <c r="C118" i="6"/>
  <c r="K118" i="6"/>
  <c r="E186" i="6"/>
  <c r="D186" i="6"/>
  <c r="C186" i="6"/>
  <c r="B186" i="6"/>
  <c r="I186" i="6"/>
  <c r="H186" i="6"/>
  <c r="J186" i="6"/>
  <c r="K186" i="6"/>
  <c r="F186" i="6"/>
  <c r="G186" i="6"/>
  <c r="E334" i="6"/>
  <c r="J334" i="6"/>
  <c r="F334" i="6"/>
  <c r="D334" i="6"/>
  <c r="H334" i="6"/>
  <c r="G334" i="6"/>
  <c r="C334" i="6"/>
  <c r="B334" i="6"/>
  <c r="I334" i="6"/>
  <c r="K334" i="6"/>
  <c r="G313" i="6"/>
  <c r="C313" i="6"/>
  <c r="D313" i="6"/>
  <c r="H313" i="6"/>
  <c r="F313" i="6"/>
  <c r="E313" i="6"/>
  <c r="B313" i="6"/>
  <c r="I313" i="6"/>
  <c r="J313" i="6"/>
  <c r="K313" i="6"/>
  <c r="G432" i="6"/>
  <c r="I432" i="6"/>
  <c r="F432" i="6"/>
  <c r="C432" i="6"/>
  <c r="B432" i="6"/>
  <c r="H432" i="6"/>
  <c r="K432" i="6"/>
  <c r="J432" i="6"/>
  <c r="E432" i="6"/>
  <c r="D432" i="6"/>
  <c r="K58" i="6"/>
  <c r="H58" i="6"/>
  <c r="J58" i="6"/>
  <c r="B58" i="6"/>
  <c r="G58" i="6"/>
  <c r="F58" i="6"/>
  <c r="E58" i="6"/>
  <c r="D58" i="6"/>
  <c r="I58" i="6"/>
  <c r="C58" i="6"/>
  <c r="F108" i="6"/>
  <c r="K108" i="6"/>
  <c r="J108" i="6"/>
  <c r="B108" i="6"/>
  <c r="H108" i="6"/>
  <c r="D108" i="6"/>
  <c r="C108" i="6"/>
  <c r="I108" i="6"/>
  <c r="G108" i="6"/>
  <c r="E108" i="6"/>
  <c r="H464" i="6"/>
  <c r="G464" i="6"/>
  <c r="D464" i="6"/>
  <c r="E464" i="6"/>
  <c r="C464" i="6"/>
  <c r="I464" i="6"/>
  <c r="F464" i="6"/>
  <c r="B464" i="6"/>
  <c r="K464" i="6"/>
  <c r="J464" i="6"/>
  <c r="B434" i="6"/>
  <c r="I434" i="6"/>
  <c r="K434" i="6"/>
  <c r="G434" i="6"/>
  <c r="F434" i="6"/>
  <c r="E434" i="6"/>
  <c r="D434" i="6"/>
  <c r="C434" i="6"/>
  <c r="H434" i="6"/>
  <c r="J434" i="6"/>
  <c r="F339" i="6"/>
  <c r="D339" i="6"/>
  <c r="K339" i="6"/>
  <c r="J339" i="6"/>
  <c r="I339" i="6"/>
  <c r="C339" i="6"/>
  <c r="B339" i="6"/>
  <c r="H339" i="6"/>
  <c r="G339" i="6"/>
  <c r="E339" i="6"/>
  <c r="F395" i="6"/>
  <c r="E395" i="6"/>
  <c r="B395" i="6"/>
  <c r="K395" i="6"/>
  <c r="J395" i="6"/>
  <c r="H395" i="6"/>
  <c r="G395" i="6"/>
  <c r="I395" i="6"/>
  <c r="D395" i="6"/>
  <c r="C395" i="6"/>
  <c r="J249" i="6"/>
  <c r="I249" i="6"/>
  <c r="H249" i="6"/>
  <c r="E249" i="6"/>
  <c r="D249" i="6"/>
  <c r="C249" i="6"/>
  <c r="K249" i="6"/>
  <c r="G249" i="6"/>
  <c r="F249" i="6"/>
  <c r="B249" i="6"/>
  <c r="E20" i="6"/>
  <c r="D20" i="6"/>
  <c r="C20" i="6"/>
  <c r="B20" i="6"/>
  <c r="K20" i="6"/>
  <c r="J20" i="6"/>
  <c r="H20" i="6"/>
  <c r="F20" i="6"/>
  <c r="I20" i="6"/>
  <c r="G20" i="6"/>
  <c r="H413" i="6"/>
  <c r="K413" i="6"/>
  <c r="J413" i="6"/>
  <c r="I413" i="6"/>
  <c r="G413" i="6"/>
  <c r="D413" i="6"/>
  <c r="F413" i="6"/>
  <c r="E413" i="6"/>
  <c r="B413" i="6"/>
  <c r="C413" i="6"/>
  <c r="E454" i="6"/>
  <c r="D454" i="6"/>
  <c r="B454" i="6"/>
  <c r="C454" i="6"/>
  <c r="G454" i="6"/>
  <c r="F454" i="6"/>
  <c r="K454" i="6"/>
  <c r="J454" i="6"/>
  <c r="I454" i="6"/>
  <c r="H454" i="6"/>
  <c r="C244" i="6"/>
  <c r="I244" i="6"/>
  <c r="H244" i="6"/>
  <c r="G244" i="6"/>
  <c r="D244" i="6"/>
  <c r="B244" i="6"/>
  <c r="E244" i="6"/>
  <c r="J244" i="6"/>
  <c r="F244" i="6"/>
  <c r="K244" i="6"/>
  <c r="K73" i="6"/>
  <c r="J73" i="6"/>
  <c r="H73" i="6"/>
  <c r="D73" i="6"/>
  <c r="G73" i="6"/>
  <c r="B73" i="6"/>
  <c r="I73" i="6"/>
  <c r="F73" i="6"/>
  <c r="E73" i="6"/>
  <c r="C73" i="6"/>
  <c r="E311" i="6"/>
  <c r="J311" i="6"/>
  <c r="I311" i="6"/>
  <c r="H311" i="6"/>
  <c r="D311" i="6"/>
  <c r="C311" i="6"/>
  <c r="B311" i="6"/>
  <c r="K311" i="6"/>
  <c r="G311" i="6"/>
  <c r="F311" i="6"/>
  <c r="E239" i="6"/>
  <c r="H239" i="6"/>
  <c r="C239" i="6"/>
  <c r="B239" i="6"/>
  <c r="G239" i="6"/>
  <c r="F239" i="6"/>
  <c r="D239" i="6"/>
  <c r="K239" i="6"/>
  <c r="J239" i="6"/>
  <c r="I239" i="6"/>
  <c r="E79" i="6"/>
  <c r="B79" i="6"/>
  <c r="K79" i="6"/>
  <c r="J79" i="6"/>
  <c r="I79" i="6"/>
  <c r="H79" i="6"/>
  <c r="G79" i="6"/>
  <c r="F79" i="6"/>
  <c r="D79" i="6"/>
  <c r="C79" i="6"/>
  <c r="J439" i="6"/>
  <c r="B439" i="6"/>
  <c r="F439" i="6"/>
  <c r="C439" i="6"/>
  <c r="D439" i="6"/>
  <c r="K439" i="6"/>
  <c r="I439" i="6"/>
  <c r="H439" i="6"/>
  <c r="G439" i="6"/>
  <c r="E439" i="6"/>
  <c r="K316" i="6"/>
  <c r="J316" i="6"/>
  <c r="I316" i="6"/>
  <c r="H316" i="6"/>
  <c r="E316" i="6"/>
  <c r="G316" i="6"/>
  <c r="F316" i="6"/>
  <c r="B316" i="6"/>
  <c r="D316" i="6"/>
  <c r="C316" i="6"/>
  <c r="B260" i="6"/>
  <c r="E260" i="6"/>
  <c r="D260" i="6"/>
  <c r="C260" i="6"/>
  <c r="K260" i="6"/>
  <c r="I260" i="6"/>
  <c r="H260" i="6"/>
  <c r="G260" i="6"/>
  <c r="F260" i="6"/>
  <c r="J260" i="6"/>
  <c r="I429" i="6"/>
  <c r="H429" i="6"/>
  <c r="E429" i="6"/>
  <c r="J429" i="6"/>
  <c r="F429" i="6"/>
  <c r="B429" i="6"/>
  <c r="D429" i="6"/>
  <c r="C429" i="6"/>
  <c r="K429" i="6"/>
  <c r="G429" i="6"/>
  <c r="E211" i="6"/>
  <c r="D211" i="6"/>
  <c r="C211" i="6"/>
  <c r="B211" i="6"/>
  <c r="J211" i="6"/>
  <c r="I211" i="6"/>
  <c r="F211" i="6"/>
  <c r="G211" i="6"/>
  <c r="H211" i="6"/>
  <c r="K211" i="6"/>
  <c r="D61" i="6"/>
  <c r="B61" i="6"/>
  <c r="K61" i="6"/>
  <c r="H61" i="6"/>
  <c r="G61" i="6"/>
  <c r="J61" i="6"/>
  <c r="F61" i="6"/>
  <c r="E61" i="6"/>
  <c r="C61" i="6"/>
  <c r="I61" i="6"/>
  <c r="H278" i="6"/>
  <c r="J278" i="6"/>
  <c r="I278" i="6"/>
  <c r="G278" i="6"/>
  <c r="K278" i="6"/>
  <c r="F278" i="6"/>
  <c r="C278" i="6"/>
  <c r="E278" i="6"/>
  <c r="D278" i="6"/>
  <c r="B278" i="6"/>
  <c r="E5" i="6"/>
  <c r="H131" i="6"/>
  <c r="G131" i="6"/>
  <c r="E131" i="6"/>
  <c r="D131" i="6"/>
  <c r="K131" i="6"/>
  <c r="I131" i="6"/>
  <c r="B131" i="6"/>
  <c r="C131" i="6"/>
  <c r="J131" i="6"/>
  <c r="F131" i="6"/>
  <c r="I175" i="6"/>
  <c r="D175" i="6"/>
  <c r="B175" i="6"/>
  <c r="J175" i="6"/>
  <c r="K175" i="6"/>
  <c r="H175" i="6"/>
  <c r="F175" i="6"/>
  <c r="G175" i="6"/>
  <c r="E175" i="6"/>
  <c r="C175" i="6"/>
  <c r="K88" i="6"/>
  <c r="J88" i="6"/>
  <c r="G88" i="6"/>
  <c r="F88" i="6"/>
  <c r="E88" i="6"/>
  <c r="D88" i="6"/>
  <c r="C88" i="6"/>
  <c r="B88" i="6"/>
  <c r="H88" i="6"/>
  <c r="I88" i="6"/>
  <c r="H445" i="6"/>
  <c r="C445" i="6"/>
  <c r="B445" i="6"/>
  <c r="F445" i="6"/>
  <c r="K445" i="6"/>
  <c r="J445" i="6"/>
  <c r="I445" i="6"/>
  <c r="E445" i="6"/>
  <c r="G445" i="6"/>
  <c r="D445" i="6"/>
  <c r="K197" i="6"/>
  <c r="I197" i="6"/>
  <c r="H197" i="6"/>
  <c r="G197" i="6"/>
  <c r="F197" i="6"/>
  <c r="E197" i="6"/>
  <c r="J197" i="6"/>
  <c r="D197" i="6"/>
  <c r="B197" i="6"/>
  <c r="C197" i="6"/>
  <c r="K494" i="6"/>
  <c r="J494" i="6"/>
  <c r="E494" i="6"/>
  <c r="I494" i="6"/>
  <c r="F494" i="6"/>
  <c r="H494" i="6"/>
  <c r="G494" i="6"/>
  <c r="D494" i="6"/>
  <c r="C494" i="6"/>
  <c r="B494" i="6"/>
  <c r="K387" i="6"/>
  <c r="F387" i="6"/>
  <c r="B387" i="6"/>
  <c r="E387" i="6"/>
  <c r="J387" i="6"/>
  <c r="G387" i="6"/>
  <c r="H387" i="6"/>
  <c r="D387" i="6"/>
  <c r="C387" i="6"/>
  <c r="I387" i="6"/>
  <c r="D85" i="6"/>
  <c r="B85" i="6"/>
  <c r="J85" i="6"/>
  <c r="I85" i="6"/>
  <c r="H85" i="6"/>
  <c r="G85" i="6"/>
  <c r="C85" i="6"/>
  <c r="K85" i="6"/>
  <c r="F85" i="6"/>
  <c r="E85" i="6"/>
  <c r="G299" i="6"/>
  <c r="D299" i="6"/>
  <c r="C299" i="6"/>
  <c r="B299" i="6"/>
  <c r="H299" i="6"/>
  <c r="F299" i="6"/>
  <c r="E299" i="6"/>
  <c r="J299" i="6"/>
  <c r="I299" i="6"/>
  <c r="K299" i="6"/>
  <c r="H397" i="6"/>
  <c r="J397" i="6"/>
  <c r="G397" i="6"/>
  <c r="F397" i="6"/>
  <c r="E397" i="6"/>
  <c r="K397" i="6"/>
  <c r="I397" i="6"/>
  <c r="D397" i="6"/>
  <c r="C397" i="6"/>
  <c r="B397" i="6"/>
  <c r="I5" i="5"/>
  <c r="E263" i="6"/>
  <c r="K263" i="6"/>
  <c r="J263" i="6"/>
  <c r="I263" i="6"/>
  <c r="H263" i="6"/>
  <c r="D263" i="6"/>
  <c r="G263" i="6"/>
  <c r="F263" i="6"/>
  <c r="C263" i="6"/>
  <c r="B263" i="6"/>
  <c r="H110" i="6"/>
  <c r="G110" i="6"/>
  <c r="F110" i="6"/>
  <c r="K110" i="6"/>
  <c r="J110" i="6"/>
  <c r="I110" i="6"/>
  <c r="E110" i="6"/>
  <c r="C110" i="6"/>
  <c r="D110" i="6"/>
  <c r="B110" i="6"/>
  <c r="J470" i="6"/>
  <c r="E470" i="6"/>
  <c r="B470" i="6"/>
  <c r="K470" i="6"/>
  <c r="H470" i="6"/>
  <c r="G470" i="6"/>
  <c r="F470" i="6"/>
  <c r="D470" i="6"/>
  <c r="C470" i="6"/>
  <c r="I470" i="6"/>
  <c r="G9" i="6"/>
  <c r="D9" i="6"/>
  <c r="J9" i="6" s="1"/>
  <c r="C9" i="6"/>
  <c r="K9" i="6"/>
  <c r="H9" i="6"/>
  <c r="E9" i="6"/>
  <c r="F9" i="6"/>
  <c r="B9" i="6"/>
  <c r="K16" i="6"/>
  <c r="H16" i="6"/>
  <c r="G16" i="6"/>
  <c r="E16" i="6"/>
  <c r="D16" i="6"/>
  <c r="C16" i="6"/>
  <c r="B16" i="6"/>
  <c r="I16" i="6"/>
  <c r="F16" i="6"/>
  <c r="J16" i="6"/>
  <c r="K396" i="6"/>
  <c r="H396" i="6"/>
  <c r="C396" i="6"/>
  <c r="E396" i="6"/>
  <c r="F396" i="6"/>
  <c r="J396" i="6"/>
  <c r="G396" i="6"/>
  <c r="I396" i="6"/>
  <c r="D396" i="6"/>
  <c r="B396" i="6"/>
  <c r="J218" i="6"/>
  <c r="I218" i="6"/>
  <c r="F218" i="6"/>
  <c r="D218" i="6"/>
  <c r="B218" i="6"/>
  <c r="H218" i="6"/>
  <c r="C218" i="6"/>
  <c r="K218" i="6"/>
  <c r="G218" i="6"/>
  <c r="E218" i="6"/>
  <c r="K236" i="6"/>
  <c r="J236" i="6"/>
  <c r="I236" i="6"/>
  <c r="H236" i="6"/>
  <c r="G236" i="6"/>
  <c r="D236" i="6"/>
  <c r="C236" i="6"/>
  <c r="B236" i="6"/>
  <c r="E236" i="6"/>
  <c r="F236" i="6"/>
  <c r="I212" i="6"/>
  <c r="H212" i="6"/>
  <c r="G212" i="6"/>
  <c r="D212" i="6"/>
  <c r="K212" i="6"/>
  <c r="E212" i="6"/>
  <c r="C212" i="6"/>
  <c r="F212" i="6"/>
  <c r="B212" i="6"/>
  <c r="J212" i="6"/>
  <c r="H198" i="6"/>
  <c r="G198" i="6"/>
  <c r="D198" i="6"/>
  <c r="B198" i="6"/>
  <c r="J198" i="6"/>
  <c r="F198" i="6"/>
  <c r="K198" i="6"/>
  <c r="I198" i="6"/>
  <c r="E198" i="6"/>
  <c r="C198" i="6"/>
  <c r="G289" i="6"/>
  <c r="J289" i="6"/>
  <c r="I289" i="6"/>
  <c r="H289" i="6"/>
  <c r="D289" i="6"/>
  <c r="C289" i="6"/>
  <c r="B289" i="6"/>
  <c r="K289" i="6"/>
  <c r="E289" i="6"/>
  <c r="F289" i="6"/>
  <c r="G33" i="6"/>
  <c r="F33" i="6"/>
  <c r="E33" i="6"/>
  <c r="D33" i="6"/>
  <c r="B33" i="6"/>
  <c r="J33" i="6"/>
  <c r="K33" i="6"/>
  <c r="I33" i="6"/>
  <c r="H33" i="6"/>
  <c r="C33" i="6"/>
  <c r="C423" i="6"/>
  <c r="B423" i="6"/>
  <c r="J423" i="6"/>
  <c r="I423" i="6"/>
  <c r="G423" i="6"/>
  <c r="D423" i="6"/>
  <c r="H423" i="6"/>
  <c r="K423" i="6"/>
  <c r="F423" i="6"/>
  <c r="E423" i="6"/>
  <c r="I378" i="6"/>
  <c r="J378" i="6"/>
  <c r="G378" i="6"/>
  <c r="D378" i="6"/>
  <c r="C378" i="6"/>
  <c r="B378" i="6"/>
  <c r="H378" i="6"/>
  <c r="F378" i="6"/>
  <c r="K378" i="6"/>
  <c r="E378" i="6"/>
  <c r="F276" i="6"/>
  <c r="J276" i="6"/>
  <c r="G276" i="6"/>
  <c r="E276" i="6"/>
  <c r="D276" i="6"/>
  <c r="K276" i="6"/>
  <c r="I276" i="6"/>
  <c r="H276" i="6"/>
  <c r="B276" i="6"/>
  <c r="C276" i="6"/>
  <c r="J286" i="6"/>
  <c r="I286" i="6"/>
  <c r="H286" i="6"/>
  <c r="E286" i="6"/>
  <c r="D286" i="6"/>
  <c r="C286" i="6"/>
  <c r="G286" i="6"/>
  <c r="B286" i="6"/>
  <c r="K286" i="6"/>
  <c r="F286" i="6"/>
  <c r="J66" i="6"/>
  <c r="G66" i="6"/>
  <c r="F66" i="6"/>
  <c r="I66" i="6"/>
  <c r="H66" i="6"/>
  <c r="E66" i="6"/>
  <c r="D66" i="6"/>
  <c r="C66" i="6"/>
  <c r="K66" i="6"/>
  <c r="B66" i="6"/>
  <c r="D412" i="6"/>
  <c r="C412" i="6"/>
  <c r="K412" i="6"/>
  <c r="B412" i="6"/>
  <c r="F412" i="6"/>
  <c r="E412" i="6"/>
  <c r="J412" i="6"/>
  <c r="I412" i="6"/>
  <c r="H412" i="6"/>
  <c r="G412" i="6"/>
  <c r="H373" i="6"/>
  <c r="K373" i="6"/>
  <c r="G373" i="6"/>
  <c r="D373" i="6"/>
  <c r="C373" i="6"/>
  <c r="B373" i="6"/>
  <c r="F373" i="6"/>
  <c r="E373" i="6"/>
  <c r="J373" i="6"/>
  <c r="I373" i="6"/>
  <c r="F300" i="6"/>
  <c r="J300" i="6"/>
  <c r="I300" i="6"/>
  <c r="H300" i="6"/>
  <c r="G300" i="6"/>
  <c r="E300" i="6"/>
  <c r="D300" i="6"/>
  <c r="K300" i="6"/>
  <c r="C300" i="6"/>
  <c r="B300" i="6"/>
  <c r="B176" i="6"/>
  <c r="H176" i="6"/>
  <c r="G176" i="6"/>
  <c r="D176" i="6"/>
  <c r="K176" i="6"/>
  <c r="E176" i="6"/>
  <c r="C176" i="6"/>
  <c r="F176" i="6"/>
  <c r="I176" i="6"/>
  <c r="J176" i="6"/>
  <c r="I267" i="6"/>
  <c r="E267" i="6"/>
  <c r="H267" i="6"/>
  <c r="G267" i="6"/>
  <c r="F267" i="6"/>
  <c r="K267" i="6"/>
  <c r="D267" i="6"/>
  <c r="C267" i="6"/>
  <c r="B267" i="6"/>
  <c r="J267" i="6"/>
  <c r="B410" i="6"/>
  <c r="I410" i="6"/>
  <c r="K410" i="6"/>
  <c r="J410" i="6"/>
  <c r="H410" i="6"/>
  <c r="D410" i="6"/>
  <c r="C410" i="6"/>
  <c r="G410" i="6"/>
  <c r="F410" i="6"/>
  <c r="E410" i="6"/>
  <c r="F196" i="6"/>
  <c r="C196" i="6"/>
  <c r="B196" i="6"/>
  <c r="K196" i="6"/>
  <c r="I196" i="6"/>
  <c r="H196" i="6"/>
  <c r="G196" i="6"/>
  <c r="E196" i="6"/>
  <c r="J196" i="6"/>
  <c r="D196" i="6"/>
  <c r="E350" i="6"/>
  <c r="F350" i="6"/>
  <c r="B350" i="6"/>
  <c r="C350" i="6"/>
  <c r="J350" i="6"/>
  <c r="I350" i="6"/>
  <c r="D350" i="6"/>
  <c r="G350" i="6"/>
  <c r="K350" i="6"/>
  <c r="H350" i="6"/>
  <c r="E22" i="7"/>
  <c r="E326" i="6"/>
  <c r="K326" i="6"/>
  <c r="J326" i="6"/>
  <c r="I326" i="6"/>
  <c r="H326" i="6"/>
  <c r="G326" i="6"/>
  <c r="D326" i="6"/>
  <c r="F326" i="6"/>
  <c r="C326" i="6"/>
  <c r="B326" i="6"/>
  <c r="H389" i="6"/>
  <c r="J389" i="6"/>
  <c r="F389" i="6"/>
  <c r="K389" i="6"/>
  <c r="I389" i="6"/>
  <c r="G389" i="6"/>
  <c r="E389" i="6"/>
  <c r="B389" i="6"/>
  <c r="D389" i="6"/>
  <c r="C389" i="6"/>
  <c r="B159" i="6"/>
  <c r="F159" i="6"/>
  <c r="D159" i="6"/>
  <c r="C159" i="6"/>
  <c r="J159" i="6"/>
  <c r="H159" i="6"/>
  <c r="K159" i="6"/>
  <c r="I159" i="6"/>
  <c r="G159" i="6"/>
  <c r="E159" i="6"/>
  <c r="J415" i="6"/>
  <c r="B415" i="6"/>
  <c r="K415" i="6"/>
  <c r="G415" i="6"/>
  <c r="F415" i="6"/>
  <c r="E415" i="6"/>
  <c r="I415" i="6"/>
  <c r="H415" i="6"/>
  <c r="D415" i="6"/>
  <c r="C415" i="6"/>
  <c r="D250" i="6"/>
  <c r="H250" i="6"/>
  <c r="G250" i="6"/>
  <c r="F250" i="6"/>
  <c r="C250" i="6"/>
  <c r="B250" i="6"/>
  <c r="I250" i="6"/>
  <c r="K250" i="6"/>
  <c r="J250" i="6"/>
  <c r="E250" i="6"/>
  <c r="J374" i="6"/>
  <c r="E374" i="6"/>
  <c r="G374" i="6"/>
  <c r="F374" i="6"/>
  <c r="B374" i="6"/>
  <c r="K374" i="6"/>
  <c r="I374" i="6"/>
  <c r="H374" i="6"/>
  <c r="D374" i="6"/>
  <c r="C374" i="6"/>
  <c r="H158" i="6"/>
  <c r="K158" i="6"/>
  <c r="J158" i="6"/>
  <c r="B158" i="6"/>
  <c r="F158" i="6"/>
  <c r="E158" i="6"/>
  <c r="G158" i="6"/>
  <c r="D158" i="6"/>
  <c r="I158" i="6"/>
  <c r="C158" i="6"/>
  <c r="J398" i="6"/>
  <c r="E398" i="6"/>
  <c r="B398" i="6"/>
  <c r="K398" i="6"/>
  <c r="I398" i="6"/>
  <c r="G398" i="6"/>
  <c r="D398" i="6"/>
  <c r="C398" i="6"/>
  <c r="F398" i="6"/>
  <c r="H398" i="6"/>
  <c r="F63" i="6"/>
  <c r="D63" i="6"/>
  <c r="J63" i="6"/>
  <c r="E63" i="6"/>
  <c r="G63" i="6"/>
  <c r="K63" i="6"/>
  <c r="I63" i="6"/>
  <c r="C63" i="6"/>
  <c r="H63" i="6"/>
  <c r="B63" i="6"/>
  <c r="J11" i="6"/>
  <c r="B23" i="7"/>
  <c r="D226" i="6"/>
  <c r="K226" i="6"/>
  <c r="J226" i="6"/>
  <c r="I226" i="6"/>
  <c r="F226" i="6"/>
  <c r="E226" i="6"/>
  <c r="C226" i="6"/>
  <c r="B226" i="6"/>
  <c r="G226" i="6"/>
  <c r="H226" i="6"/>
  <c r="H416" i="6"/>
  <c r="G416" i="6"/>
  <c r="D416" i="6"/>
  <c r="K416" i="6"/>
  <c r="J416" i="6"/>
  <c r="B416" i="6"/>
  <c r="I416" i="6"/>
  <c r="E416" i="6"/>
  <c r="F416" i="6"/>
  <c r="C416" i="6"/>
  <c r="K109" i="6"/>
  <c r="I109" i="6"/>
  <c r="F109" i="6"/>
  <c r="H109" i="6"/>
  <c r="G109" i="6"/>
  <c r="E109" i="6"/>
  <c r="D109" i="6"/>
  <c r="C109" i="6"/>
  <c r="B109" i="6"/>
  <c r="J109" i="6"/>
  <c r="F284" i="6"/>
  <c r="D284" i="6"/>
  <c r="C284" i="6"/>
  <c r="B284" i="6"/>
  <c r="H284" i="6"/>
  <c r="G284" i="6"/>
  <c r="J284" i="6"/>
  <c r="I284" i="6"/>
  <c r="E284" i="6"/>
  <c r="K284" i="6"/>
  <c r="G408" i="6"/>
  <c r="J408" i="6"/>
  <c r="H408" i="6"/>
  <c r="E408" i="6"/>
  <c r="B408" i="6"/>
  <c r="K408" i="6"/>
  <c r="I408" i="6"/>
  <c r="F408" i="6"/>
  <c r="D408" i="6"/>
  <c r="C408" i="6"/>
  <c r="K174" i="6"/>
  <c r="J174" i="6"/>
  <c r="I174" i="6"/>
  <c r="F174" i="6"/>
  <c r="C174" i="6"/>
  <c r="B174" i="6"/>
  <c r="E174" i="6"/>
  <c r="D174" i="6"/>
  <c r="H174" i="6"/>
  <c r="G174" i="6"/>
  <c r="E191" i="6"/>
  <c r="B191" i="6"/>
  <c r="J191" i="6"/>
  <c r="G191" i="6"/>
  <c r="K191" i="6"/>
  <c r="I191" i="6"/>
  <c r="H191" i="6"/>
  <c r="D191" i="6"/>
  <c r="F191" i="6"/>
  <c r="C191" i="6"/>
  <c r="F185" i="6"/>
  <c r="I185" i="6"/>
  <c r="G185" i="6"/>
  <c r="C185" i="6"/>
  <c r="K185" i="6"/>
  <c r="H185" i="6"/>
  <c r="J185" i="6"/>
  <c r="E185" i="6"/>
  <c r="D185" i="6"/>
  <c r="B185" i="6"/>
  <c r="G456" i="6"/>
  <c r="C456" i="6"/>
  <c r="B456" i="6"/>
  <c r="J456" i="6"/>
  <c r="I456" i="6"/>
  <c r="H456" i="6"/>
  <c r="E456" i="6"/>
  <c r="D456" i="6"/>
  <c r="K456" i="6"/>
  <c r="F456" i="6"/>
  <c r="G241" i="6"/>
  <c r="K241" i="6"/>
  <c r="F241" i="6"/>
  <c r="E241" i="6"/>
  <c r="H241" i="6"/>
  <c r="D241" i="6"/>
  <c r="C241" i="6"/>
  <c r="I241" i="6"/>
  <c r="B241" i="6"/>
  <c r="J241" i="6"/>
  <c r="C24" i="6"/>
  <c r="G24" i="6"/>
  <c r="D24" i="6"/>
  <c r="B24" i="6"/>
  <c r="J24" i="6"/>
  <c r="E24" i="6"/>
  <c r="I24" i="6"/>
  <c r="H24" i="6"/>
  <c r="K24" i="6"/>
  <c r="F24" i="6"/>
  <c r="E406" i="6"/>
  <c r="F406" i="6"/>
  <c r="B406" i="6"/>
  <c r="H406" i="6"/>
  <c r="G406" i="6"/>
  <c r="K406" i="6"/>
  <c r="D406" i="6"/>
  <c r="C406" i="6"/>
  <c r="J406" i="6"/>
  <c r="I406" i="6"/>
  <c r="I171" i="6"/>
  <c r="J171" i="6"/>
  <c r="D171" i="6"/>
  <c r="C171" i="6"/>
  <c r="E171" i="6"/>
  <c r="K171" i="6"/>
  <c r="G171" i="6"/>
  <c r="F171" i="6"/>
  <c r="B171" i="6"/>
  <c r="H171" i="6"/>
  <c r="E358" i="6"/>
  <c r="C358" i="6"/>
  <c r="I358" i="6"/>
  <c r="F358" i="6"/>
  <c r="D358" i="6"/>
  <c r="B358" i="6"/>
  <c r="K358" i="6"/>
  <c r="J358" i="6"/>
  <c r="H358" i="6"/>
  <c r="G358" i="6"/>
  <c r="B7" i="6"/>
  <c r="I7" i="6" s="1"/>
  <c r="G7" i="6"/>
  <c r="F7" i="6"/>
  <c r="E7" i="6"/>
  <c r="D7" i="6"/>
  <c r="C7" i="6"/>
  <c r="K7" i="6"/>
  <c r="H7" i="6"/>
  <c r="J7" i="6" s="1"/>
  <c r="H283" i="6"/>
  <c r="E283" i="6"/>
  <c r="D283" i="6"/>
  <c r="C283" i="6"/>
  <c r="K283" i="6"/>
  <c r="J283" i="6"/>
  <c r="I283" i="6"/>
  <c r="B283" i="6"/>
  <c r="F283" i="6"/>
  <c r="G283" i="6"/>
  <c r="F438" i="6"/>
  <c r="E438" i="6"/>
  <c r="B438" i="6"/>
  <c r="I438" i="6"/>
  <c r="G438" i="6"/>
  <c r="K438" i="6"/>
  <c r="D438" i="6"/>
  <c r="C438" i="6"/>
  <c r="H438" i="6"/>
  <c r="J438" i="6"/>
  <c r="C261" i="6"/>
  <c r="K261" i="6"/>
  <c r="I261" i="6"/>
  <c r="F261" i="6"/>
  <c r="J261" i="6"/>
  <c r="E261" i="6"/>
  <c r="D261" i="6"/>
  <c r="H261" i="6"/>
  <c r="B261" i="6"/>
  <c r="G261" i="6"/>
  <c r="K31" i="6"/>
  <c r="H31" i="6"/>
  <c r="G31" i="6"/>
  <c r="I31" i="6"/>
  <c r="F31" i="6"/>
  <c r="E31" i="6"/>
  <c r="D31" i="6"/>
  <c r="B31" i="6"/>
  <c r="J31" i="6"/>
  <c r="C31" i="6"/>
  <c r="C5" i="6"/>
  <c r="J5" i="6" s="1"/>
  <c r="F204" i="6"/>
  <c r="K204" i="6"/>
  <c r="J204" i="6"/>
  <c r="E204" i="6"/>
  <c r="D204" i="6"/>
  <c r="I204" i="6"/>
  <c r="C204" i="6"/>
  <c r="H204" i="6"/>
  <c r="B204" i="6"/>
  <c r="G204" i="6"/>
  <c r="J304" i="6"/>
  <c r="B304" i="6"/>
  <c r="G304" i="6"/>
  <c r="F304" i="6"/>
  <c r="K304" i="6"/>
  <c r="I304" i="6"/>
  <c r="H304" i="6"/>
  <c r="E304" i="6"/>
  <c r="D304" i="6"/>
  <c r="C304" i="6"/>
  <c r="I233" i="6"/>
  <c r="H233" i="6"/>
  <c r="G233" i="6"/>
  <c r="K233" i="6"/>
  <c r="E233" i="6"/>
  <c r="B233" i="6"/>
  <c r="J233" i="6"/>
  <c r="F233" i="6"/>
  <c r="C233" i="6"/>
  <c r="D233" i="6"/>
  <c r="K49" i="6"/>
  <c r="E49" i="6"/>
  <c r="B49" i="6"/>
  <c r="H49" i="6"/>
  <c r="F49" i="6"/>
  <c r="D49" i="6"/>
  <c r="C49" i="6"/>
  <c r="J49" i="6"/>
  <c r="G49" i="6"/>
  <c r="I49" i="6"/>
  <c r="H231" i="6"/>
  <c r="G231" i="6"/>
  <c r="F231" i="6"/>
  <c r="C231" i="6"/>
  <c r="B231" i="6"/>
  <c r="I231" i="6"/>
  <c r="D231" i="6"/>
  <c r="K231" i="6"/>
  <c r="J231" i="6"/>
  <c r="E231" i="6"/>
  <c r="I370" i="6"/>
  <c r="F370" i="6"/>
  <c r="B370" i="6"/>
  <c r="H370" i="6"/>
  <c r="C370" i="6"/>
  <c r="J370" i="6"/>
  <c r="E370" i="6"/>
  <c r="G370" i="6"/>
  <c r="D370" i="6"/>
  <c r="K370" i="6"/>
  <c r="E287" i="6"/>
  <c r="K287" i="6"/>
  <c r="J287" i="6"/>
  <c r="I287" i="6"/>
  <c r="H287" i="6"/>
  <c r="G287" i="6"/>
  <c r="F287" i="6"/>
  <c r="D287" i="6"/>
  <c r="B287" i="6"/>
  <c r="C287" i="6"/>
  <c r="F443" i="6"/>
  <c r="K443" i="6"/>
  <c r="J443" i="6"/>
  <c r="H443" i="6"/>
  <c r="E443" i="6"/>
  <c r="D443" i="6"/>
  <c r="C443" i="6"/>
  <c r="I443" i="6"/>
  <c r="G443" i="6"/>
  <c r="B443" i="6"/>
  <c r="E139" i="6"/>
  <c r="D139" i="6"/>
  <c r="K139" i="6"/>
  <c r="J139" i="6"/>
  <c r="I139" i="6"/>
  <c r="G139" i="6"/>
  <c r="F139" i="6"/>
  <c r="C139" i="6"/>
  <c r="B139" i="6"/>
  <c r="H139" i="6"/>
  <c r="J367" i="6"/>
  <c r="B367" i="6"/>
  <c r="D367" i="6"/>
  <c r="I367" i="6"/>
  <c r="H367" i="6"/>
  <c r="E367" i="6"/>
  <c r="C367" i="6"/>
  <c r="K367" i="6"/>
  <c r="G367" i="6"/>
  <c r="F367" i="6"/>
  <c r="K420" i="6"/>
  <c r="H420" i="6"/>
  <c r="C420" i="6"/>
  <c r="B420" i="6"/>
  <c r="I420" i="6"/>
  <c r="F420" i="6"/>
  <c r="J420" i="6"/>
  <c r="G420" i="6"/>
  <c r="D420" i="6"/>
  <c r="E420" i="6"/>
  <c r="H94" i="6"/>
  <c r="G94" i="6"/>
  <c r="E94" i="6"/>
  <c r="B94" i="6"/>
  <c r="I94" i="6"/>
  <c r="F94" i="6"/>
  <c r="D94" i="6"/>
  <c r="C94" i="6"/>
  <c r="K94" i="6"/>
  <c r="J94" i="6"/>
  <c r="H5" i="6"/>
  <c r="K125" i="6"/>
  <c r="D125" i="6"/>
  <c r="G125" i="6"/>
  <c r="E125" i="6"/>
  <c r="C125" i="6"/>
  <c r="J125" i="6"/>
  <c r="B125" i="6"/>
  <c r="F125" i="6"/>
  <c r="I125" i="6"/>
  <c r="H125" i="6"/>
  <c r="G122" i="6"/>
  <c r="F122" i="6"/>
  <c r="K122" i="6"/>
  <c r="I122" i="6"/>
  <c r="D122" i="6"/>
  <c r="C122" i="6"/>
  <c r="B122" i="6"/>
  <c r="E122" i="6"/>
  <c r="J122" i="6"/>
  <c r="H122" i="6"/>
  <c r="B386" i="6"/>
  <c r="I386" i="6"/>
  <c r="J386" i="6"/>
  <c r="K386" i="6"/>
  <c r="H386" i="6"/>
  <c r="F386" i="6"/>
  <c r="E386" i="6"/>
  <c r="D386" i="6"/>
  <c r="C386" i="6"/>
  <c r="G386" i="6"/>
  <c r="D202" i="6"/>
  <c r="F202" i="6"/>
  <c r="E202" i="6"/>
  <c r="C202" i="6"/>
  <c r="B202" i="6"/>
  <c r="H202" i="6"/>
  <c r="G202" i="6"/>
  <c r="J202" i="6"/>
  <c r="I202" i="6"/>
  <c r="K202" i="6"/>
  <c r="H307" i="6"/>
  <c r="D307" i="6"/>
  <c r="C307" i="6"/>
  <c r="K307" i="6"/>
  <c r="J307" i="6"/>
  <c r="E307" i="6"/>
  <c r="I307" i="6"/>
  <c r="F307" i="6"/>
  <c r="G307" i="6"/>
  <c r="B307" i="6"/>
  <c r="K53" i="6"/>
  <c r="J53" i="6"/>
  <c r="I53" i="6"/>
  <c r="H53" i="6"/>
  <c r="G53" i="6"/>
  <c r="E53" i="6"/>
  <c r="D53" i="6"/>
  <c r="C53" i="6"/>
  <c r="F53" i="6"/>
  <c r="B53" i="6"/>
  <c r="F170" i="6"/>
  <c r="E170" i="6"/>
  <c r="D170" i="6"/>
  <c r="C170" i="6"/>
  <c r="K170" i="6"/>
  <c r="J170" i="6"/>
  <c r="G170" i="6"/>
  <c r="B170" i="6"/>
  <c r="I170" i="6"/>
  <c r="H170" i="6"/>
  <c r="E401" i="6"/>
  <c r="D401" i="6"/>
  <c r="K401" i="6"/>
  <c r="J401" i="6"/>
  <c r="I401" i="6"/>
  <c r="H401" i="6"/>
  <c r="G401" i="6"/>
  <c r="F401" i="6"/>
  <c r="C401" i="6"/>
  <c r="B401" i="6"/>
  <c r="E382" i="6"/>
  <c r="C382" i="6"/>
  <c r="I382" i="6"/>
  <c r="B382" i="6"/>
  <c r="H382" i="6"/>
  <c r="G382" i="6"/>
  <c r="F382" i="6"/>
  <c r="D382" i="6"/>
  <c r="K382" i="6"/>
  <c r="J382" i="6"/>
  <c r="I481" i="6"/>
  <c r="D481" i="6"/>
  <c r="K481" i="6"/>
  <c r="J481" i="6"/>
  <c r="H481" i="6"/>
  <c r="G481" i="6"/>
  <c r="F481" i="6"/>
  <c r="B481" i="6"/>
  <c r="C481" i="6"/>
  <c r="E481" i="6"/>
  <c r="H488" i="6"/>
  <c r="G488" i="6"/>
  <c r="D488" i="6"/>
  <c r="J488" i="6"/>
  <c r="K488" i="6"/>
  <c r="F488" i="6"/>
  <c r="B488" i="6"/>
  <c r="C488" i="6"/>
  <c r="E488" i="6"/>
  <c r="I488" i="6"/>
  <c r="B375" i="6"/>
  <c r="J375" i="6"/>
  <c r="I375" i="6"/>
  <c r="F375" i="6"/>
  <c r="E375" i="6"/>
  <c r="D375" i="6"/>
  <c r="G375" i="6"/>
  <c r="C375" i="6"/>
  <c r="H375" i="6"/>
  <c r="K375" i="6"/>
  <c r="D436" i="6"/>
  <c r="C436" i="6"/>
  <c r="K436" i="6"/>
  <c r="I436" i="6"/>
  <c r="F436" i="6"/>
  <c r="J436" i="6"/>
  <c r="E436" i="6"/>
  <c r="B436" i="6"/>
  <c r="H436" i="6"/>
  <c r="G436" i="6"/>
  <c r="K492" i="6"/>
  <c r="I492" i="6"/>
  <c r="H492" i="6"/>
  <c r="C492" i="6"/>
  <c r="D492" i="6"/>
  <c r="G492" i="6"/>
  <c r="F492" i="6"/>
  <c r="J492" i="6"/>
  <c r="E492" i="6"/>
  <c r="B492" i="6"/>
  <c r="F14" i="6"/>
  <c r="C14" i="6"/>
  <c r="B14" i="6"/>
  <c r="H14" i="6"/>
  <c r="G14" i="6"/>
  <c r="E14" i="6"/>
  <c r="D14" i="6"/>
  <c r="K14" i="6"/>
  <c r="I14" i="6"/>
  <c r="J14" i="6"/>
  <c r="D40" i="6"/>
  <c r="C40" i="6"/>
  <c r="B40" i="6"/>
  <c r="H40" i="6"/>
  <c r="G40" i="6"/>
  <c r="F40" i="6"/>
  <c r="E40" i="6"/>
  <c r="K40" i="6"/>
  <c r="J40" i="6"/>
  <c r="I40" i="6"/>
  <c r="D388" i="6"/>
  <c r="C388" i="6"/>
  <c r="K388" i="6"/>
  <c r="G388" i="6"/>
  <c r="F388" i="6"/>
  <c r="J388" i="6"/>
  <c r="I388" i="6"/>
  <c r="B388" i="6"/>
  <c r="E388" i="6"/>
  <c r="H388" i="6"/>
  <c r="D37" i="6"/>
  <c r="B37" i="6"/>
  <c r="G37" i="6"/>
  <c r="F37" i="6"/>
  <c r="E37" i="6"/>
  <c r="C37" i="6"/>
  <c r="H37" i="6"/>
  <c r="J37" i="6"/>
  <c r="K37" i="6"/>
  <c r="I37" i="6"/>
  <c r="F156" i="6"/>
  <c r="J156" i="6"/>
  <c r="I156" i="6"/>
  <c r="H156" i="6"/>
  <c r="G156" i="6"/>
  <c r="C156" i="6"/>
  <c r="B156" i="6"/>
  <c r="E156" i="6"/>
  <c r="D156" i="6"/>
  <c r="K156" i="6"/>
  <c r="F180" i="6"/>
  <c r="B180" i="6"/>
  <c r="G180" i="6"/>
  <c r="E180" i="6"/>
  <c r="C180" i="6"/>
  <c r="H180" i="6"/>
  <c r="D180" i="6"/>
  <c r="K180" i="6"/>
  <c r="J180" i="6"/>
  <c r="I180" i="6"/>
  <c r="K221" i="6"/>
  <c r="J221" i="6"/>
  <c r="I221" i="6"/>
  <c r="H221" i="6"/>
  <c r="E221" i="6"/>
  <c r="B221" i="6"/>
  <c r="G221" i="6"/>
  <c r="D221" i="6"/>
  <c r="F221" i="6"/>
  <c r="C221" i="6"/>
  <c r="K42" i="6"/>
  <c r="J42" i="6"/>
  <c r="I42" i="6"/>
  <c r="G42" i="6"/>
  <c r="H42" i="6"/>
  <c r="C42" i="6"/>
  <c r="F42" i="6"/>
  <c r="E42" i="6"/>
  <c r="D42" i="6"/>
  <c r="B42" i="6"/>
  <c r="C141" i="6"/>
  <c r="D141" i="6"/>
  <c r="B141" i="6"/>
  <c r="K141" i="6"/>
  <c r="J141" i="6"/>
  <c r="I141" i="6"/>
  <c r="G141" i="6"/>
  <c r="H141" i="6"/>
  <c r="F141" i="6"/>
  <c r="E141" i="6"/>
  <c r="E281" i="6"/>
  <c r="B281" i="6"/>
  <c r="C281" i="6"/>
  <c r="K281" i="6"/>
  <c r="J281" i="6"/>
  <c r="I281" i="6"/>
  <c r="G281" i="6"/>
  <c r="H281" i="6"/>
  <c r="F281" i="6"/>
  <c r="D281" i="6"/>
  <c r="E98" i="6"/>
  <c r="C98" i="6"/>
  <c r="K98" i="6"/>
  <c r="J98" i="6"/>
  <c r="I98" i="6"/>
  <c r="G98" i="6"/>
  <c r="H98" i="6"/>
  <c r="F98" i="6"/>
  <c r="D98" i="6"/>
  <c r="B98" i="6"/>
  <c r="F419" i="6"/>
  <c r="J419" i="6"/>
  <c r="K419" i="6"/>
  <c r="I419" i="6"/>
  <c r="H419" i="6"/>
  <c r="G419" i="6"/>
  <c r="E419" i="6"/>
  <c r="B419" i="6"/>
  <c r="C419" i="6"/>
  <c r="D419" i="6"/>
  <c r="D321" i="6"/>
  <c r="J321" i="6"/>
  <c r="F321" i="6"/>
  <c r="E321" i="6"/>
  <c r="I321" i="6"/>
  <c r="H321" i="6"/>
  <c r="G321" i="6"/>
  <c r="K321" i="6"/>
  <c r="C321" i="6"/>
  <c r="B321" i="6"/>
  <c r="D274" i="6"/>
  <c r="G274" i="6"/>
  <c r="C274" i="6"/>
  <c r="B274" i="6"/>
  <c r="H274" i="6"/>
  <c r="F274" i="6"/>
  <c r="E274" i="6"/>
  <c r="K274" i="6"/>
  <c r="J274" i="6"/>
  <c r="I274" i="6"/>
  <c r="H381" i="6"/>
  <c r="E381" i="6"/>
  <c r="J381" i="6"/>
  <c r="F381" i="6"/>
  <c r="G381" i="6"/>
  <c r="B381" i="6"/>
  <c r="I381" i="6"/>
  <c r="D381" i="6"/>
  <c r="K381" i="6"/>
  <c r="C381" i="6"/>
  <c r="K192" i="6"/>
  <c r="J192" i="6"/>
  <c r="H192" i="6"/>
  <c r="G192" i="6"/>
  <c r="D192" i="6"/>
  <c r="B192" i="6"/>
  <c r="I192" i="6"/>
  <c r="F192" i="6"/>
  <c r="E192" i="6"/>
  <c r="C192" i="6"/>
  <c r="K411" i="6"/>
  <c r="F411" i="6"/>
  <c r="J411" i="6"/>
  <c r="G411" i="6"/>
  <c r="H411" i="6"/>
  <c r="D411" i="6"/>
  <c r="I411" i="6"/>
  <c r="B411" i="6"/>
  <c r="E411" i="6"/>
  <c r="C411" i="6"/>
  <c r="D154" i="6"/>
  <c r="G154" i="6"/>
  <c r="F154" i="6"/>
  <c r="E154" i="6"/>
  <c r="C154" i="6"/>
  <c r="K154" i="6"/>
  <c r="H154" i="6"/>
  <c r="I154" i="6"/>
  <c r="B154" i="6"/>
  <c r="J154" i="6"/>
  <c r="J487" i="6"/>
  <c r="B487" i="6"/>
  <c r="K487" i="6"/>
  <c r="I487" i="6"/>
  <c r="F487" i="6"/>
  <c r="D487" i="6"/>
  <c r="C487" i="6"/>
  <c r="E487" i="6"/>
  <c r="H487" i="6"/>
  <c r="G487" i="6"/>
  <c r="J4" i="7" l="1"/>
  <c r="E19" i="7"/>
  <c r="B19" i="7"/>
  <c r="I12" i="6"/>
  <c r="J12" i="6"/>
  <c r="E21" i="7" s="1"/>
  <c r="K12" i="6"/>
  <c r="I9" i="6"/>
  <c r="B21" i="7"/>
  <c r="B11" i="7"/>
  <c r="H21" i="7" s="1"/>
  <c r="B13" i="7"/>
  <c r="H23" i="7" s="1"/>
  <c r="B10" i="7"/>
  <c r="H20" i="7" s="1"/>
  <c r="B12" i="7"/>
  <c r="H22" i="7" s="1"/>
  <c r="F4" i="7"/>
  <c r="D4" i="7"/>
  <c r="B14" i="7"/>
  <c r="H24" i="7" s="1"/>
  <c r="B15" i="7"/>
  <c r="H25" i="7" s="1"/>
  <c r="K5" i="6"/>
  <c r="I5" i="6"/>
  <c r="B9" i="7"/>
  <c r="H19" i="7" s="1"/>
  <c r="H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Use the lineman list from Lists sheet. Add or delete names there as staffing changes.</t>
        </r>
      </text>
    </comment>
    <comment ref="F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Hours should come from the General Foreman's Google Form entry. Valid range is 0 to 24.</t>
        </r>
      </text>
    </comment>
  </commentList>
</comments>
</file>

<file path=xl/sharedStrings.xml><?xml version="1.0" encoding="utf-8"?>
<sst xmlns="http://schemas.openxmlformats.org/spreadsheetml/2006/main" count="192" uniqueCount="119">
  <si>
    <t>Trouble Ticket Validation Dashboard – V3</t>
  </si>
  <si>
    <t>What changed in V3?</t>
  </si>
  <si>
    <t>1. Added a safe Ticket_Input_Form sheet so users only type in blue input cells.</t>
  </si>
  <si>
    <t>2. Added master lists so linemen, foremen, job types, and areas can be added or deleted in one place.</t>
  </si>
  <si>
    <t>3. Protected calculation sheets so formulas and dashboards are harder to break.</t>
  </si>
  <si>
    <t>4. Added validation checks for missing fields, invalid hours, outlier hours, and unknown names.</t>
  </si>
  <si>
    <t>5. Added revenue risk estimates so data quality issues are tied to business impact.</t>
  </si>
  <si>
    <t>How to use</t>
  </si>
  <si>
    <t>• Update names on the Lists sheet if people change.</t>
  </si>
  <si>
    <t>• Use Ticket_Input_Form as a safe front-end, then copy values into the next blank row on Form_Raw_Data.</t>
  </si>
  <si>
    <t>• Or type directly into blue cells on Form_Raw_Data rows 2:501.</t>
  </si>
  <si>
    <t>• Do not edit Clean_Data, Validation_Checks, or Dashboard; they update automatically.</t>
  </si>
  <si>
    <t>Editable cells are shaded blue. Validation / logic sheets are protected.</t>
  </si>
  <si>
    <t>Modeled after a real-world workflow where the General Foreman entered hours through a Google Form and admins had to fix downstream issues.</t>
  </si>
  <si>
    <t>Master Lists (edit here to add/delete names, foremen, jobs, and areas)</t>
  </si>
  <si>
    <t>Lineman_Name</t>
  </si>
  <si>
    <t>Status</t>
  </si>
  <si>
    <t>Notes</t>
  </si>
  <si>
    <t>Job_Type</t>
  </si>
  <si>
    <t>Area</t>
  </si>
  <si>
    <t>General_Foreman</t>
  </si>
  <si>
    <t>MIKE</t>
  </si>
  <si>
    <t>ACTIVE</t>
  </si>
  <si>
    <t/>
  </si>
  <si>
    <t>Repair</t>
  </si>
  <si>
    <t>Zone A</t>
  </si>
  <si>
    <t>ADAMS</t>
  </si>
  <si>
    <t>JOHN</t>
  </si>
  <si>
    <t>Install</t>
  </si>
  <si>
    <t>Zone B</t>
  </si>
  <si>
    <t>RIVERA</t>
  </si>
  <si>
    <t>SARAH</t>
  </si>
  <si>
    <t>Safety</t>
  </si>
  <si>
    <t>Zone C</t>
  </si>
  <si>
    <t>BLAKE</t>
  </si>
  <si>
    <t>CHRIS</t>
  </si>
  <si>
    <t>Maintenance</t>
  </si>
  <si>
    <t>Zone D</t>
  </si>
  <si>
    <t>NGUYEN</t>
  </si>
  <si>
    <t>ANNA</t>
  </si>
  <si>
    <t>Trouble Ticket</t>
  </si>
  <si>
    <t>Underground</t>
  </si>
  <si>
    <t>Overhead</t>
  </si>
  <si>
    <t>Tip:</t>
  </si>
  <si>
    <t>Add a new person in column A, or delete a person row if they leave. Areas are ticket-based, so you do not need to tie a lineman to one area.</t>
  </si>
  <si>
    <t>Ticket Input Form (safe entry page)</t>
  </si>
  <si>
    <t>Only blue cells are editable. Copy finished values into the next blank row on Form_Raw_Data.</t>
  </si>
  <si>
    <t>Quick Validation</t>
  </si>
  <si>
    <t>Ticket_ID</t>
  </si>
  <si>
    <t>TT011</t>
  </si>
  <si>
    <t>Missing required field</t>
  </si>
  <si>
    <t>Date</t>
  </si>
  <si>
    <t>Unknown lineman</t>
  </si>
  <si>
    <t>Unknown foreman</t>
  </si>
  <si>
    <t>Invalid hours</t>
  </si>
  <si>
    <t>Hours outlier (&gt;16)</t>
  </si>
  <si>
    <t>Hours_Worked</t>
  </si>
  <si>
    <t>Form status</t>
  </si>
  <si>
    <t>Tip</t>
  </si>
  <si>
    <t>Because linemen change areas, area is entered per ticket and not hardcoded to a person.</t>
  </si>
  <si>
    <t>Form Raw Data (enter only in blue cells)</t>
  </si>
  <si>
    <t>Tip: Rows 4:501 are open for entry. Only columns A:H are editable.</t>
  </si>
  <si>
    <t>Entry_Status</t>
  </si>
  <si>
    <t>Row_Check</t>
  </si>
  <si>
    <t>TT001</t>
  </si>
  <si>
    <t>-</t>
  </si>
  <si>
    <t>TT002</t>
  </si>
  <si>
    <t>mike</t>
  </si>
  <si>
    <t>TT003</t>
  </si>
  <si>
    <t>TT004</t>
  </si>
  <si>
    <t>Missing hours</t>
  </si>
  <si>
    <t>TT005</t>
  </si>
  <si>
    <t>Too high</t>
  </si>
  <si>
    <t>TT006</t>
  </si>
  <si>
    <t>Missing name</t>
  </si>
  <si>
    <t>TT007</t>
  </si>
  <si>
    <t>Missing job type</t>
  </si>
  <si>
    <t>TT008</t>
  </si>
  <si>
    <t>eight</t>
  </si>
  <si>
    <t>Text hours</t>
  </si>
  <si>
    <t>TT009</t>
  </si>
  <si>
    <t>TONY</t>
  </si>
  <si>
    <t>TT010</t>
  </si>
  <si>
    <t>Missing foreman</t>
  </si>
  <si>
    <t>Clean Data (auto-updating)</t>
  </si>
  <si>
    <t>Clean_Name</t>
  </si>
  <si>
    <t>Clean_Foreman</t>
  </si>
  <si>
    <t>Valid_Hours</t>
  </si>
  <si>
    <t>Error_Flag</t>
  </si>
  <si>
    <t>Name_Exists</t>
  </si>
  <si>
    <t>Foreman_Exists</t>
  </si>
  <si>
    <t>Validation Checks (auto-updating)</t>
  </si>
  <si>
    <t>Missing_Name</t>
  </si>
  <si>
    <t>Unknown_Name</t>
  </si>
  <si>
    <t>Missing_Job</t>
  </si>
  <si>
    <t>Invalid_Hours</t>
  </si>
  <si>
    <t>Outlier_Hours</t>
  </si>
  <si>
    <t>Missing_Area</t>
  </si>
  <si>
    <t>Missing_Foreman</t>
  </si>
  <si>
    <t>Overall_Status</t>
  </si>
  <si>
    <t>Revenue_Risk</t>
  </si>
  <si>
    <t>Primary_Issue</t>
  </si>
  <si>
    <t>Trouble Ticket Validation Dashboard</t>
  </si>
  <si>
    <t>Total Tickets</t>
  </si>
  <si>
    <t>Error Tickets</t>
  </si>
  <si>
    <t>Review Tickets</t>
  </si>
  <si>
    <t>% Valid</t>
  </si>
  <si>
    <t>Revenue Risk</t>
  </si>
  <si>
    <t>Error Type</t>
  </si>
  <si>
    <t>Count</t>
  </si>
  <si>
    <t>Missing Name</t>
  </si>
  <si>
    <t>Unknown Lineman</t>
  </si>
  <si>
    <t>Missing Job</t>
  </si>
  <si>
    <t>Invalid Hours</t>
  </si>
  <si>
    <t>Outlier Hours</t>
  </si>
  <si>
    <t>Missing Area</t>
  </si>
  <si>
    <t>Missing Foreman</t>
  </si>
  <si>
    <t>Foreman</t>
  </si>
  <si>
    <t>Most common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</si>
</sst>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\(\$#,##0\)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i/>
      <sz val="11"/>
      <name val="Calibri"/>
    </font>
    <font>
      <b/>
      <sz val="12"/>
      <color rgb="FF1F4E78"/>
      <name val="Calibri"/>
    </font>
    <font>
      <i/>
      <sz val="11"/>
      <color rgb="FF1F4E78"/>
      <name val="Calibri"/>
    </font>
    <font>
      <b/>
      <sz val="11"/>
      <color rgb="FF1F4E78"/>
      <name val="Calibri"/>
    </font>
    <font>
      <b/>
      <sz val="11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D9EDE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/>
    <xf numFmtId="0" fontId="0" fillId="5" borderId="0" xfId="0" applyFill="1"/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/>
    <xf numFmtId="0" fontId="7" fillId="6" borderId="2" xfId="0" applyFont="1" applyFill="1" applyBorder="1"/>
    <xf numFmtId="0" fontId="3" fillId="4" borderId="2" xfId="0" applyFont="1" applyFill="1" applyBorder="1"/>
    <xf numFmtId="0" fontId="8" fillId="6" borderId="2" xfId="0" applyFont="1" applyFill="1" applyBorder="1"/>
    <xf numFmtId="0" fontId="0" fillId="0" borderId="2" xfId="0" applyBorder="1"/>
    <xf numFmtId="14" fontId="3" fillId="4" borderId="2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9" fillId="7" borderId="2" xfId="0" applyFont="1" applyFill="1" applyBorder="1"/>
    <xf numFmtId="0" fontId="10" fillId="8" borderId="2" xfId="0" applyFont="1" applyFill="1" applyBorder="1"/>
    <xf numFmtId="14" fontId="10" fillId="8" borderId="2" xfId="0" applyNumberFormat="1" applyFont="1" applyFill="1" applyBorder="1"/>
    <xf numFmtId="0" fontId="0" fillId="9" borderId="2" xfId="0" applyFill="1" applyBorder="1"/>
    <xf numFmtId="0" fontId="0" fillId="7" borderId="2" xfId="0" applyFill="1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7" fillId="10" borderId="2" xfId="0" applyFont="1" applyFill="1" applyBorder="1"/>
    <xf numFmtId="0" fontId="0" fillId="10" borderId="2" xfId="0" applyFill="1" applyBorder="1"/>
    <xf numFmtId="0" fontId="7" fillId="11" borderId="2" xfId="0" applyFont="1" applyFill="1" applyBorder="1"/>
    <xf numFmtId="0" fontId="0" fillId="11" borderId="2" xfId="0" applyFill="1" applyBorder="1"/>
    <xf numFmtId="0" fontId="7" fillId="5" borderId="2" xfId="0" applyFont="1" applyFill="1" applyBorder="1"/>
    <xf numFmtId="0" fontId="0" fillId="5" borderId="2" xfId="0" applyFill="1" applyBorder="1"/>
    <xf numFmtId="0" fontId="7" fillId="8" borderId="2" xfId="0" applyFont="1" applyFill="1" applyBorder="1"/>
    <xf numFmtId="0" fontId="0" fillId="8" borderId="2" xfId="0" applyFill="1" applyBorder="1"/>
    <xf numFmtId="0" fontId="7" fillId="7" borderId="2" xfId="0" applyFont="1" applyFill="1" applyBorder="1"/>
    <xf numFmtId="0" fontId="11" fillId="10" borderId="2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165" fontId="11" fillId="8" borderId="2" xfId="0" applyNumberFormat="1" applyFont="1" applyFill="1" applyBorder="1" applyAlignment="1">
      <alignment horizontal="center"/>
    </xf>
    <xf numFmtId="164" fontId="11" fillId="7" borderId="2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/>
  </cellXfs>
  <cellStyles count="1">
    <cellStyle name="Normal" xfId="0" builtinId="0"/>
  </cellStyles>
  <dxfs count="21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Error Count by Type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110058816304809"/>
          <c:y val="7.5533087619366723E-2"/>
          <c:w val="0.64615237653352264"/>
          <c:h val="0.8306002840958911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Dashboard!$A$9:$A$15</c:f>
              <c:strCache>
                <c:ptCount val="7"/>
                <c:pt idx="0">
                  <c:v>Missing Name</c:v>
                </c:pt>
                <c:pt idx="1">
                  <c:v>Unknown Lineman</c:v>
                </c:pt>
                <c:pt idx="2">
                  <c:v>Missing Job</c:v>
                </c:pt>
                <c:pt idx="3">
                  <c:v>Invalid Hours</c:v>
                </c:pt>
                <c:pt idx="4">
                  <c:v>Outlier Hours</c:v>
                </c:pt>
                <c:pt idx="5">
                  <c:v>Missing Area</c:v>
                </c:pt>
                <c:pt idx="6">
                  <c:v>Missing Foreman</c:v>
                </c:pt>
              </c:strCache>
            </c:strRef>
          </c:cat>
          <c:val>
            <c:numRef>
              <c:f>Dashboard!$B$9:$B$15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A-467B-9791-5E8DA3581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Error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Revenue Risk by Area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Revenue Risk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Dashboard!$A$19:$A$24</c:f>
              <c:strCache>
                <c:ptCount val="6"/>
                <c:pt idx="0">
                  <c:v>Zone A</c:v>
                </c:pt>
                <c:pt idx="1">
                  <c:v>Zone B</c:v>
                </c:pt>
                <c:pt idx="2">
                  <c:v>Zone C</c:v>
                </c:pt>
                <c:pt idx="3">
                  <c:v>Zone D</c:v>
                </c:pt>
                <c:pt idx="4">
                  <c:v>Underground</c:v>
                </c:pt>
                <c:pt idx="5">
                  <c:v>Overhead</c:v>
                </c:pt>
              </c:strCache>
            </c:strRef>
          </c:cat>
          <c:val>
            <c:numRef>
              <c:f>Dashboard!$B$19:$B$24</c:f>
              <c:numCache>
                <c:formatCode>\$#,##0;[Red]\(\$#,##0\)</c:formatCode>
                <c:ptCount val="6"/>
                <c:pt idx="0">
                  <c:v>300</c:v>
                </c:pt>
                <c:pt idx="1">
                  <c:v>1050</c:v>
                </c:pt>
                <c:pt idx="2">
                  <c:v>750</c:v>
                </c:pt>
                <c:pt idx="3">
                  <c:v>200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1-4B22-9C95-9F242366DEE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901700</xdr:colOff>
      <xdr:row>34</xdr:row>
      <xdr:rowOff>6350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E1A96D4C-9336-A046-E771-6E6CC648B6E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514350</xdr:colOff>
      <xdr:row>2</xdr:row>
      <xdr:rowOff>69850</xdr:rowOff>
    </xdr:from>
    <xdr:to>
      <xdr:col>19</xdr:col>
      <xdr:colOff>520700</xdr:colOff>
      <xdr:row>33</xdr:row>
      <xdr:rowOff>12700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317500</xdr:colOff>
      <xdr:row>5</xdr:row>
      <xdr:rowOff>57150</xdr:rowOff>
    </xdr:from>
    <xdr:to>
      <xdr:col>13</xdr:col>
      <xdr:colOff>374650</xdr:colOff>
      <xdr:row>33</xdr:row>
      <xdr:rowOff>12700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>
      <selection activeCell="L8" sqref="L8"/>
    </sheetView>
  </sheetViews>
  <sheetFormatPr defaultRowHeight="14.5" x14ac:dyDescent="0.35"/>
  <cols>
    <col min="1" max="1" width="18" customWidth="1"/>
    <col min="2" max="8" width="15" customWidth="1"/>
  </cols>
  <sheetData>
    <row r="1" spans="1:8" ht="21" x14ac:dyDescent="0.35">
      <c r="A1" s="35" t="s">
        <v>0</v>
      </c>
      <c r="B1" s="34"/>
      <c r="C1" s="34"/>
      <c r="D1" s="34"/>
      <c r="E1" s="34"/>
      <c r="F1" s="34"/>
      <c r="G1" s="34"/>
      <c r="H1" s="34"/>
    </row>
    <row r="3" spans="1:8" ht="15.5" x14ac:dyDescent="0.35">
      <c r="A3" s="1" t="s">
        <v>1</v>
      </c>
    </row>
    <row r="4" spans="1:8" x14ac:dyDescent="0.35">
      <c r="A4" t="s">
        <v>2</v>
      </c>
    </row>
    <row r="5" spans="1:8" x14ac:dyDescent="0.35">
      <c r="A5" t="s">
        <v>3</v>
      </c>
    </row>
    <row r="6" spans="1:8" x14ac:dyDescent="0.35">
      <c r="A6" t="s">
        <v>4</v>
      </c>
    </row>
    <row r="7" spans="1:8" x14ac:dyDescent="0.35">
      <c r="A7" t="s">
        <v>5</v>
      </c>
    </row>
    <row r="8" spans="1:8" x14ac:dyDescent="0.35">
      <c r="A8" t="s">
        <v>6</v>
      </c>
    </row>
    <row r="11" spans="1:8" ht="15.5" x14ac:dyDescent="0.35">
      <c r="A11" s="1" t="s">
        <v>7</v>
      </c>
    </row>
    <row r="12" spans="1:8" x14ac:dyDescent="0.35">
      <c r="A12" t="s">
        <v>8</v>
      </c>
    </row>
    <row r="13" spans="1:8" x14ac:dyDescent="0.35">
      <c r="A13" t="s">
        <v>9</v>
      </c>
    </row>
    <row r="14" spans="1:8" x14ac:dyDescent="0.35">
      <c r="A14" t="s">
        <v>10</v>
      </c>
    </row>
    <row r="15" spans="1:8" x14ac:dyDescent="0.35">
      <c r="A15" t="s">
        <v>11</v>
      </c>
    </row>
    <row r="18" spans="1:8" x14ac:dyDescent="0.35">
      <c r="A18" s="2" t="s">
        <v>12</v>
      </c>
    </row>
    <row r="20" spans="1:8" x14ac:dyDescent="0.35">
      <c r="A20" s="33" t="s">
        <v>13</v>
      </c>
      <c r="B20" s="34"/>
      <c r="C20" s="34"/>
      <c r="D20" s="34"/>
      <c r="E20" s="34"/>
      <c r="F20" s="34"/>
      <c r="G20" s="34"/>
      <c r="H20" s="34"/>
    </row>
    <row r="21" spans="1:8" x14ac:dyDescent="0.35">
      <c r="A21" s="34"/>
      <c r="B21" s="34"/>
      <c r="C21" s="34"/>
      <c r="D21" s="34"/>
      <c r="E21" s="34"/>
      <c r="F21" s="34"/>
      <c r="G21" s="34"/>
      <c r="H21" s="34"/>
    </row>
    <row r="22" spans="1:8" x14ac:dyDescent="0.35">
      <c r="A22" s="34"/>
      <c r="B22" s="34"/>
      <c r="C22" s="34"/>
      <c r="D22" s="34"/>
      <c r="E22" s="34"/>
      <c r="F22" s="34"/>
      <c r="G22" s="34"/>
      <c r="H22" s="34"/>
    </row>
  </sheetData>
  <mergeCells count="2">
    <mergeCell ref="A20:H2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showGridLines="0" workbookViewId="0">
      <selection activeCell="I15" sqref="I15"/>
    </sheetView>
  </sheetViews>
  <sheetFormatPr defaultRowHeight="14.5" x14ac:dyDescent="0.35"/>
  <cols>
    <col min="1" max="1" width="18" customWidth="1"/>
    <col min="2" max="2" width="12" customWidth="1"/>
    <col min="3" max="3" width="22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10" width="18" customWidth="1"/>
  </cols>
  <sheetData>
    <row r="1" spans="1:10" ht="24" customHeight="1" x14ac:dyDescent="0.35">
      <c r="A1" s="35" t="s">
        <v>14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x14ac:dyDescent="0.35">
      <c r="A3" s="3" t="s">
        <v>15</v>
      </c>
      <c r="B3" s="3" t="s">
        <v>16</v>
      </c>
      <c r="C3" s="3" t="s">
        <v>17</v>
      </c>
      <c r="E3" s="3" t="s">
        <v>18</v>
      </c>
      <c r="G3" s="3" t="s">
        <v>19</v>
      </c>
      <c r="I3" s="3" t="s">
        <v>20</v>
      </c>
    </row>
    <row r="4" spans="1:10" x14ac:dyDescent="0.35">
      <c r="A4" s="4" t="s">
        <v>21</v>
      </c>
      <c r="B4" s="4" t="s">
        <v>22</v>
      </c>
      <c r="C4" s="4" t="s">
        <v>23</v>
      </c>
      <c r="E4" s="4" t="s">
        <v>24</v>
      </c>
      <c r="G4" s="4" t="s">
        <v>25</v>
      </c>
      <c r="I4" s="4" t="s">
        <v>26</v>
      </c>
    </row>
    <row r="5" spans="1:10" x14ac:dyDescent="0.35">
      <c r="A5" s="4" t="s">
        <v>27</v>
      </c>
      <c r="B5" s="4" t="s">
        <v>22</v>
      </c>
      <c r="C5" s="4" t="s">
        <v>23</v>
      </c>
      <c r="E5" s="4" t="s">
        <v>28</v>
      </c>
      <c r="G5" s="4" t="s">
        <v>29</v>
      </c>
      <c r="I5" s="4" t="s">
        <v>30</v>
      </c>
    </row>
    <row r="6" spans="1:10" x14ac:dyDescent="0.35">
      <c r="A6" s="4" t="s">
        <v>31</v>
      </c>
      <c r="B6" s="4" t="s">
        <v>22</v>
      </c>
      <c r="C6" s="4" t="s">
        <v>23</v>
      </c>
      <c r="E6" s="4" t="s">
        <v>32</v>
      </c>
      <c r="G6" s="4" t="s">
        <v>33</v>
      </c>
      <c r="I6" s="4" t="s">
        <v>34</v>
      </c>
    </row>
    <row r="7" spans="1:10" x14ac:dyDescent="0.35">
      <c r="A7" s="4" t="s">
        <v>35</v>
      </c>
      <c r="B7" s="4" t="s">
        <v>22</v>
      </c>
      <c r="C7" s="4" t="s">
        <v>23</v>
      </c>
      <c r="E7" s="4" t="s">
        <v>36</v>
      </c>
      <c r="G7" s="4" t="s">
        <v>37</v>
      </c>
      <c r="I7" s="4" t="s">
        <v>38</v>
      </c>
    </row>
    <row r="8" spans="1:10" x14ac:dyDescent="0.35">
      <c r="A8" s="4" t="s">
        <v>39</v>
      </c>
      <c r="B8" s="4" t="s">
        <v>22</v>
      </c>
      <c r="C8" s="4" t="s">
        <v>23</v>
      </c>
      <c r="E8" s="4" t="s">
        <v>40</v>
      </c>
      <c r="G8" s="4" t="s">
        <v>41</v>
      </c>
      <c r="I8" s="4"/>
    </row>
    <row r="9" spans="1:10" x14ac:dyDescent="0.35">
      <c r="A9" s="4"/>
      <c r="B9" s="4"/>
      <c r="C9" s="4"/>
      <c r="E9" s="4"/>
      <c r="G9" s="4" t="s">
        <v>42</v>
      </c>
      <c r="I9" s="4"/>
    </row>
    <row r="10" spans="1:10" x14ac:dyDescent="0.35">
      <c r="A10" s="4"/>
      <c r="B10" s="4"/>
      <c r="C10" s="4"/>
      <c r="E10" s="4"/>
      <c r="G10" s="4"/>
      <c r="I10" s="4"/>
    </row>
    <row r="11" spans="1:10" x14ac:dyDescent="0.35">
      <c r="A11" s="4"/>
      <c r="B11" s="4"/>
      <c r="C11" s="4"/>
      <c r="E11" s="4"/>
      <c r="G11" s="4"/>
      <c r="I11" s="4"/>
    </row>
    <row r="12" spans="1:10" x14ac:dyDescent="0.35">
      <c r="A12" s="4"/>
      <c r="B12" s="4"/>
      <c r="C12" s="4"/>
      <c r="E12" s="4"/>
      <c r="G12" s="4"/>
      <c r="I12" s="4"/>
    </row>
    <row r="13" spans="1:10" x14ac:dyDescent="0.35">
      <c r="A13" s="4"/>
      <c r="B13" s="4"/>
      <c r="C13" s="4"/>
      <c r="E13" s="4"/>
      <c r="G13" s="4"/>
      <c r="I13" s="4"/>
    </row>
    <row r="14" spans="1:10" x14ac:dyDescent="0.35">
      <c r="A14" s="4"/>
      <c r="B14" s="4"/>
      <c r="C14" s="4"/>
      <c r="E14" s="4"/>
      <c r="G14" s="4"/>
      <c r="I14" s="4"/>
    </row>
    <row r="15" spans="1:10" x14ac:dyDescent="0.35">
      <c r="A15" s="4"/>
      <c r="B15" s="4"/>
      <c r="C15" s="4"/>
      <c r="E15" s="4"/>
      <c r="G15" s="4"/>
      <c r="I15" s="4"/>
    </row>
    <row r="16" spans="1:10" x14ac:dyDescent="0.35">
      <c r="A16" s="4"/>
      <c r="B16" s="4"/>
      <c r="C16" s="4"/>
      <c r="E16" s="4"/>
      <c r="G16" s="4"/>
      <c r="I16" s="4"/>
    </row>
    <row r="17" spans="1:9" x14ac:dyDescent="0.35">
      <c r="A17" s="4"/>
      <c r="B17" s="4"/>
      <c r="C17" s="4"/>
      <c r="E17" s="4"/>
      <c r="G17" s="4"/>
      <c r="I17" s="4"/>
    </row>
    <row r="18" spans="1:9" x14ac:dyDescent="0.35">
      <c r="A18" s="4"/>
      <c r="B18" s="4"/>
      <c r="C18" s="4"/>
      <c r="E18" s="4"/>
      <c r="G18" s="4"/>
      <c r="I18" s="4"/>
    </row>
    <row r="19" spans="1:9" x14ac:dyDescent="0.35">
      <c r="A19" s="4"/>
      <c r="B19" s="4"/>
      <c r="C19" s="4"/>
      <c r="E19" s="4"/>
      <c r="G19" s="4"/>
      <c r="I19" s="4"/>
    </row>
    <row r="20" spans="1:9" x14ac:dyDescent="0.35">
      <c r="A20" s="4"/>
      <c r="B20" s="4"/>
      <c r="C20" s="4"/>
      <c r="E20" s="4"/>
      <c r="G20" s="4"/>
      <c r="I20" s="4"/>
    </row>
    <row r="21" spans="1:9" x14ac:dyDescent="0.35">
      <c r="A21" s="4"/>
      <c r="B21" s="4"/>
      <c r="C21" s="4"/>
      <c r="E21" s="4"/>
      <c r="G21" s="4"/>
      <c r="I21" s="4"/>
    </row>
    <row r="22" spans="1:9" x14ac:dyDescent="0.35">
      <c r="A22" s="4"/>
      <c r="B22" s="4"/>
      <c r="C22" s="4"/>
      <c r="E22" s="4"/>
      <c r="G22" s="4"/>
      <c r="I22" s="4"/>
    </row>
    <row r="23" spans="1:9" x14ac:dyDescent="0.35">
      <c r="A23" s="4"/>
      <c r="B23" s="4"/>
      <c r="C23" s="4"/>
      <c r="E23" s="4"/>
      <c r="G23" s="4"/>
      <c r="I23" s="4"/>
    </row>
    <row r="24" spans="1:9" x14ac:dyDescent="0.35">
      <c r="A24" s="4"/>
      <c r="B24" s="4"/>
      <c r="C24" s="4"/>
      <c r="E24" s="4"/>
      <c r="G24" s="4"/>
      <c r="I24" s="4"/>
    </row>
    <row r="25" spans="1:9" x14ac:dyDescent="0.35">
      <c r="A25" s="4"/>
      <c r="B25" s="4"/>
      <c r="C25" s="4"/>
      <c r="E25" s="4"/>
      <c r="G25" s="4"/>
      <c r="I25" s="4"/>
    </row>
    <row r="26" spans="1:9" x14ac:dyDescent="0.35">
      <c r="A26" s="4"/>
      <c r="B26" s="4"/>
      <c r="C26" s="4"/>
      <c r="E26" s="4"/>
      <c r="G26" s="4"/>
      <c r="I26" s="4"/>
    </row>
    <row r="27" spans="1:9" x14ac:dyDescent="0.35">
      <c r="A27" s="4"/>
      <c r="B27" s="4"/>
      <c r="C27" s="4"/>
      <c r="E27" s="4"/>
      <c r="G27" s="4"/>
      <c r="I27" s="4"/>
    </row>
    <row r="28" spans="1:9" x14ac:dyDescent="0.35">
      <c r="A28" s="4"/>
      <c r="B28" s="4"/>
      <c r="C28" s="4"/>
      <c r="E28" s="4"/>
      <c r="G28" s="4"/>
      <c r="I28" s="4"/>
    </row>
    <row r="29" spans="1:9" x14ac:dyDescent="0.35">
      <c r="A29" s="4"/>
      <c r="B29" s="4"/>
      <c r="C29" s="4"/>
      <c r="E29" s="4"/>
      <c r="G29" s="4"/>
      <c r="I29" s="4"/>
    </row>
    <row r="30" spans="1:9" x14ac:dyDescent="0.35">
      <c r="A30" s="4"/>
      <c r="B30" s="4"/>
      <c r="C30" s="4"/>
      <c r="E30" s="4"/>
      <c r="G30" s="4"/>
      <c r="I30" s="4"/>
    </row>
    <row r="31" spans="1:9" x14ac:dyDescent="0.35">
      <c r="A31" s="4"/>
      <c r="B31" s="4"/>
      <c r="C31" s="4"/>
      <c r="E31" s="4"/>
      <c r="G31" s="4"/>
      <c r="I31" s="4"/>
    </row>
    <row r="32" spans="1:9" x14ac:dyDescent="0.35">
      <c r="A32" s="4"/>
      <c r="B32" s="4"/>
      <c r="C32" s="4"/>
      <c r="E32" s="4"/>
      <c r="G32" s="4"/>
      <c r="I32" s="4"/>
    </row>
    <row r="33" spans="1:9" x14ac:dyDescent="0.35">
      <c r="A33" s="4"/>
      <c r="B33" s="4"/>
      <c r="C33" s="4"/>
      <c r="E33" s="4"/>
      <c r="G33" s="4"/>
      <c r="I33" s="4"/>
    </row>
    <row r="34" spans="1:9" x14ac:dyDescent="0.35">
      <c r="A34" s="4"/>
      <c r="B34" s="4"/>
      <c r="C34" s="4"/>
      <c r="E34" s="4"/>
      <c r="G34" s="4"/>
      <c r="I34" s="4"/>
    </row>
    <row r="35" spans="1:9" x14ac:dyDescent="0.35">
      <c r="A35" s="4"/>
      <c r="B35" s="4"/>
      <c r="C35" s="4"/>
      <c r="E35" s="4"/>
      <c r="G35" s="4"/>
      <c r="I35" s="4"/>
    </row>
    <row r="36" spans="1:9" x14ac:dyDescent="0.35">
      <c r="A36" s="4"/>
      <c r="B36" s="4"/>
      <c r="C36" s="4"/>
      <c r="E36" s="4"/>
      <c r="G36" s="4"/>
      <c r="I36" s="4"/>
    </row>
    <row r="37" spans="1:9" x14ac:dyDescent="0.35">
      <c r="A37" s="4"/>
      <c r="B37" s="4"/>
      <c r="C37" s="4"/>
      <c r="E37" s="4"/>
      <c r="G37" s="4"/>
      <c r="I37" s="4"/>
    </row>
    <row r="38" spans="1:9" x14ac:dyDescent="0.35">
      <c r="A38" s="4"/>
      <c r="B38" s="4"/>
      <c r="C38" s="4"/>
      <c r="E38" s="4"/>
      <c r="G38" s="4"/>
      <c r="I38" s="4"/>
    </row>
    <row r="39" spans="1:9" x14ac:dyDescent="0.35">
      <c r="A39" s="4"/>
      <c r="B39" s="4"/>
      <c r="C39" s="4"/>
      <c r="E39" s="4"/>
      <c r="G39" s="4"/>
      <c r="I39" s="4"/>
    </row>
    <row r="40" spans="1:9" x14ac:dyDescent="0.35">
      <c r="A40" s="4"/>
      <c r="B40" s="4"/>
      <c r="C40" s="4"/>
      <c r="E40" s="4"/>
      <c r="G40" s="4"/>
      <c r="I40" s="4"/>
    </row>
    <row r="41" spans="1:9" x14ac:dyDescent="0.35">
      <c r="A41" s="4"/>
      <c r="B41" s="4"/>
      <c r="C41" s="4"/>
      <c r="E41" s="4"/>
      <c r="G41" s="4"/>
      <c r="I41" s="4"/>
    </row>
    <row r="42" spans="1:9" x14ac:dyDescent="0.35">
      <c r="A42" s="4"/>
      <c r="B42" s="4"/>
      <c r="C42" s="4"/>
      <c r="E42" s="4"/>
      <c r="G42" s="4"/>
      <c r="I42" s="4"/>
    </row>
    <row r="43" spans="1:9" x14ac:dyDescent="0.35">
      <c r="A43" s="4"/>
      <c r="B43" s="4"/>
      <c r="C43" s="4"/>
      <c r="E43" s="4"/>
      <c r="G43" s="4"/>
      <c r="I43" s="4"/>
    </row>
    <row r="44" spans="1:9" x14ac:dyDescent="0.35">
      <c r="A44" s="4"/>
      <c r="B44" s="4"/>
      <c r="C44" s="4"/>
      <c r="E44" s="4"/>
      <c r="G44" s="4"/>
      <c r="I44" s="4"/>
    </row>
    <row r="45" spans="1:9" x14ac:dyDescent="0.35">
      <c r="A45" s="4"/>
      <c r="B45" s="4"/>
      <c r="C45" s="4"/>
      <c r="E45" s="4"/>
      <c r="G45" s="4"/>
      <c r="I45" s="4"/>
    </row>
    <row r="46" spans="1:9" x14ac:dyDescent="0.35">
      <c r="A46" s="4"/>
      <c r="B46" s="4"/>
      <c r="C46" s="4"/>
      <c r="E46" s="4"/>
      <c r="G46" s="4"/>
      <c r="I46" s="4"/>
    </row>
    <row r="47" spans="1:9" x14ac:dyDescent="0.35">
      <c r="A47" s="4"/>
      <c r="B47" s="4"/>
      <c r="C47" s="4"/>
      <c r="E47" s="4"/>
      <c r="G47" s="4"/>
      <c r="I47" s="4"/>
    </row>
    <row r="48" spans="1:9" x14ac:dyDescent="0.35">
      <c r="A48" s="4"/>
      <c r="B48" s="4"/>
      <c r="C48" s="4"/>
      <c r="E48" s="4"/>
      <c r="G48" s="4"/>
      <c r="I48" s="4"/>
    </row>
    <row r="49" spans="1:10" x14ac:dyDescent="0.35">
      <c r="A49" s="4"/>
      <c r="B49" s="4"/>
      <c r="C49" s="4"/>
      <c r="E49" s="4"/>
      <c r="G49" s="4"/>
      <c r="I49" s="4"/>
    </row>
    <row r="50" spans="1:10" x14ac:dyDescent="0.35">
      <c r="A50" s="4"/>
      <c r="B50" s="4"/>
      <c r="C50" s="4"/>
      <c r="E50" s="4"/>
      <c r="G50" s="4"/>
      <c r="I50" s="4"/>
    </row>
    <row r="51" spans="1:10" x14ac:dyDescent="0.35">
      <c r="A51" s="4"/>
      <c r="B51" s="4"/>
      <c r="C51" s="4"/>
      <c r="E51" s="4"/>
      <c r="G51" s="4"/>
      <c r="I51" s="4"/>
    </row>
    <row r="52" spans="1:10" x14ac:dyDescent="0.35">
      <c r="A52" s="4"/>
      <c r="B52" s="4"/>
      <c r="C52" s="4"/>
      <c r="E52" s="4"/>
      <c r="G52" s="4"/>
      <c r="I52" s="4"/>
    </row>
    <row r="53" spans="1:10" x14ac:dyDescent="0.35">
      <c r="A53" s="4"/>
      <c r="B53" s="4"/>
      <c r="C53" s="4"/>
      <c r="E53" s="4"/>
      <c r="G53" s="4"/>
      <c r="I53" s="4"/>
    </row>
    <row r="54" spans="1:10" x14ac:dyDescent="0.35">
      <c r="A54" t="s">
        <v>43</v>
      </c>
      <c r="B54" s="36" t="s">
        <v>44</v>
      </c>
      <c r="C54" s="34"/>
      <c r="D54" s="34"/>
      <c r="E54" s="34"/>
      <c r="F54" s="34"/>
      <c r="G54" s="34"/>
      <c r="H54" s="34"/>
      <c r="I54" s="34"/>
      <c r="J54" s="34"/>
    </row>
    <row r="55" spans="1:10" x14ac:dyDescent="0.35">
      <c r="B55" s="34"/>
      <c r="C55" s="34"/>
      <c r="D55" s="34"/>
      <c r="E55" s="34"/>
      <c r="F55" s="34"/>
      <c r="G55" s="34"/>
      <c r="H55" s="34"/>
      <c r="I55" s="34"/>
      <c r="J55" s="34"/>
    </row>
  </sheetData>
  <mergeCells count="2">
    <mergeCell ref="A1:J1"/>
    <mergeCell ref="B54:J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showGridLines="0" workbookViewId="0">
      <selection activeCell="K15" sqref="K15"/>
    </sheetView>
  </sheetViews>
  <sheetFormatPr defaultRowHeight="14.5" x14ac:dyDescent="0.35"/>
  <cols>
    <col min="1" max="1" width="20" customWidth="1"/>
    <col min="2" max="2" width="4" customWidth="1"/>
    <col min="3" max="3" width="22" customWidth="1"/>
    <col min="4" max="6" width="14" customWidth="1"/>
    <col min="7" max="7" width="4" customWidth="1"/>
    <col min="8" max="8" width="24" customWidth="1"/>
    <col min="9" max="10" width="16" customWidth="1"/>
  </cols>
  <sheetData>
    <row r="1" spans="1:10" ht="21" x14ac:dyDescent="0.35">
      <c r="A1" s="35" t="s">
        <v>45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x14ac:dyDescent="0.35">
      <c r="A3" s="44" t="s">
        <v>46</v>
      </c>
      <c r="B3" s="34"/>
      <c r="C3" s="34"/>
      <c r="D3" s="34"/>
      <c r="E3" s="34"/>
      <c r="F3" s="34"/>
    </row>
    <row r="4" spans="1:10" ht="21" x14ac:dyDescent="0.35">
      <c r="H4" s="37" t="s">
        <v>47</v>
      </c>
      <c r="I4" s="34"/>
      <c r="J4" s="34"/>
    </row>
    <row r="5" spans="1:10" x14ac:dyDescent="0.35">
      <c r="A5" s="5" t="s">
        <v>48</v>
      </c>
      <c r="C5" s="6" t="s">
        <v>49</v>
      </c>
      <c r="H5" s="7" t="s">
        <v>50</v>
      </c>
      <c r="J5" s="8" t="str">
        <f>IF(OR(C5="",C6="",C7="",C8="",C9="",C10="",C11=""),"CHECK","OK")</f>
        <v>CHECK</v>
      </c>
    </row>
    <row r="6" spans="1:10" x14ac:dyDescent="0.35">
      <c r="A6" s="5" t="s">
        <v>51</v>
      </c>
      <c r="C6" s="9">
        <v>46086</v>
      </c>
      <c r="H6" s="7" t="s">
        <v>52</v>
      </c>
      <c r="J6" s="8" t="str">
        <f>IF(C7="","CHECK",IF(COUNTIF(Lists!$A$4:$A$53,C7)&gt;0,"OK","CHECK"))</f>
        <v>CHECK</v>
      </c>
    </row>
    <row r="7" spans="1:10" x14ac:dyDescent="0.35">
      <c r="A7" s="5" t="s">
        <v>15</v>
      </c>
      <c r="C7" s="6"/>
      <c r="H7" s="7" t="s">
        <v>53</v>
      </c>
      <c r="J7" s="8" t="str">
        <f>IF(C8="","CHECK",IF(COUNTIF(Lists!$I$4:$I$53,C8)&gt;0,"OK","CHECK"))</f>
        <v>CHECK</v>
      </c>
    </row>
    <row r="8" spans="1:10" x14ac:dyDescent="0.35">
      <c r="A8" s="5" t="s">
        <v>20</v>
      </c>
      <c r="C8" s="6"/>
      <c r="H8" s="7" t="s">
        <v>54</v>
      </c>
      <c r="J8" s="8" t="str">
        <f>IF(C10="","CHECK",IF(AND(ISNUMBER(C10),C10&gt;=0,C10&lt;=24),"OK","CHECK"))</f>
        <v>CHECK</v>
      </c>
    </row>
    <row r="9" spans="1:10" x14ac:dyDescent="0.35">
      <c r="A9" s="5" t="s">
        <v>18</v>
      </c>
      <c r="C9" s="6"/>
      <c r="H9" s="7" t="s">
        <v>55</v>
      </c>
      <c r="J9" s="8" t="str">
        <f>IF(AND(ISNUMBER(C10),C10&gt;16),"REVIEW","OK")</f>
        <v>OK</v>
      </c>
    </row>
    <row r="10" spans="1:10" x14ac:dyDescent="0.35">
      <c r="A10" s="5" t="s">
        <v>56</v>
      </c>
      <c r="C10" s="6"/>
      <c r="H10" s="7" t="s">
        <v>57</v>
      </c>
      <c r="J10" s="8" t="str">
        <f>IF(COUNTIF(J5:J8,"CHECK")&gt;0,"NEEDS REVIEW",IF(J9="REVIEW","REVIEW","READY"))</f>
        <v>NEEDS REVIEW</v>
      </c>
    </row>
    <row r="11" spans="1:10" x14ac:dyDescent="0.35">
      <c r="A11" s="5" t="s">
        <v>19</v>
      </c>
      <c r="C11" s="6"/>
      <c r="H11" t="s">
        <v>58</v>
      </c>
      <c r="I11" s="33" t="s">
        <v>59</v>
      </c>
      <c r="J11" s="34"/>
    </row>
    <row r="12" spans="1:10" ht="32" customHeight="1" x14ac:dyDescent="0.35">
      <c r="A12" s="5" t="s">
        <v>17</v>
      </c>
      <c r="C12" s="38"/>
      <c r="D12" s="39"/>
      <c r="E12" s="39"/>
      <c r="F12" s="40"/>
      <c r="I12" s="34"/>
      <c r="J12" s="34"/>
    </row>
    <row r="13" spans="1:10" ht="32" customHeight="1" x14ac:dyDescent="0.35">
      <c r="C13" s="41"/>
      <c r="D13" s="42"/>
      <c r="E13" s="42"/>
      <c r="F13" s="43"/>
      <c r="I13" s="34"/>
      <c r="J13" s="34"/>
    </row>
  </sheetData>
  <mergeCells count="5">
    <mergeCell ref="A1:J1"/>
    <mergeCell ref="I11:J13"/>
    <mergeCell ref="H4:J4"/>
    <mergeCell ref="C12:F13"/>
    <mergeCell ref="A3:F3"/>
  </mergeCells>
  <dataValidations count="6">
    <dataValidation type="list" allowBlank="1" sqref="C7" xr:uid="{00000000-0002-0000-0200-000000000000}">
      <formula1>LinemanList</formula1>
    </dataValidation>
    <dataValidation type="list" allowBlank="1" sqref="C9" xr:uid="{00000000-0002-0000-0200-000001000000}">
      <formula1>JobTypeList</formula1>
    </dataValidation>
    <dataValidation type="list" allowBlank="1" sqref="C11" xr:uid="{00000000-0002-0000-0200-000002000000}">
      <formula1>AreaList</formula1>
    </dataValidation>
    <dataValidation type="list" allowBlank="1" sqref="C8" xr:uid="{00000000-0002-0000-0200-000003000000}">
      <formula1>ForemanList</formula1>
    </dataValidation>
    <dataValidation type="decimal" allowBlank="1" sqref="C10" xr:uid="{00000000-0002-0000-0200-000004000000}">
      <formula1>0</formula1>
      <formula2>24</formula2>
    </dataValidation>
    <dataValidation type="date" allowBlank="1" sqref="C6" xr:uid="{00000000-0002-0000-0200-000005000000}">
      <formula1>DATE(2025,1,1)</formula1>
      <formula2>DATE(2030,12,31)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1"/>
  <sheetViews>
    <sheetView showGridLines="0" tabSelected="1" workbookViewId="0">
      <selection sqref="A1:J1"/>
    </sheetView>
  </sheetViews>
  <sheetFormatPr defaultRowHeight="14.5" x14ac:dyDescent="0.35"/>
  <cols>
    <col min="1" max="1" width="14" customWidth="1"/>
    <col min="2" max="2" width="12" customWidth="1"/>
    <col min="3" max="3" width="16" customWidth="1"/>
    <col min="4" max="5" width="18" customWidth="1"/>
    <col min="6" max="7" width="14" customWidth="1"/>
    <col min="8" max="8" width="24" customWidth="1"/>
    <col min="9" max="9" width="16" customWidth="1"/>
    <col min="10" max="10" width="14" customWidth="1"/>
  </cols>
  <sheetData>
    <row r="1" spans="1:10" ht="21" x14ac:dyDescent="0.35">
      <c r="A1" s="35" t="s">
        <v>60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5">
      <c r="A2" s="44" t="s">
        <v>61</v>
      </c>
      <c r="B2" s="34"/>
      <c r="C2" s="34"/>
      <c r="D2" s="34"/>
      <c r="E2" s="34"/>
      <c r="F2" s="34"/>
    </row>
    <row r="3" spans="1:10" x14ac:dyDescent="0.35">
      <c r="A3" s="10" t="s">
        <v>48</v>
      </c>
      <c r="B3" s="10" t="s">
        <v>51</v>
      </c>
      <c r="C3" s="10" t="s">
        <v>15</v>
      </c>
      <c r="D3" s="10" t="s">
        <v>20</v>
      </c>
      <c r="E3" s="10" t="s">
        <v>18</v>
      </c>
      <c r="F3" s="10" t="s">
        <v>56</v>
      </c>
      <c r="G3" s="10" t="s">
        <v>19</v>
      </c>
      <c r="H3" s="10" t="s">
        <v>17</v>
      </c>
      <c r="I3" s="10" t="s">
        <v>62</v>
      </c>
      <c r="J3" s="10" t="s">
        <v>63</v>
      </c>
    </row>
    <row r="4" spans="1:10" x14ac:dyDescent="0.35">
      <c r="A4" s="6" t="s">
        <v>64</v>
      </c>
      <c r="B4" s="9">
        <v>46082</v>
      </c>
      <c r="C4" s="6" t="s">
        <v>21</v>
      </c>
      <c r="D4" s="6" t="s">
        <v>26</v>
      </c>
      <c r="E4" s="6" t="s">
        <v>24</v>
      </c>
      <c r="F4" s="6">
        <v>8</v>
      </c>
      <c r="G4" s="6" t="s">
        <v>25</v>
      </c>
      <c r="H4" s="6" t="s">
        <v>65</v>
      </c>
      <c r="I4" s="11" t="str">
        <f t="shared" ref="I4:I67" si="0">IF(A4="","",IF(OR(B4="",C4="",D4="",E4="",F4="",G4=""),"MISSING FIELD","ENTERED"))</f>
        <v>ENTERED</v>
      </c>
      <c r="J4" s="11" t="str">
        <f t="shared" ref="J4:J67" si="1">IF(A4="","",IF(OR(F4="",NOT(ISNUMBER(F4))),"CHECK HOURS",IF(F4&gt;16,"REVIEW","OK")))</f>
        <v>OK</v>
      </c>
    </row>
    <row r="5" spans="1:10" x14ac:dyDescent="0.35">
      <c r="A5" s="6" t="s">
        <v>66</v>
      </c>
      <c r="B5" s="9">
        <v>46082</v>
      </c>
      <c r="C5" s="6" t="s">
        <v>67</v>
      </c>
      <c r="D5" s="6" t="s">
        <v>26</v>
      </c>
      <c r="E5" s="6" t="s">
        <v>24</v>
      </c>
      <c r="F5" s="6">
        <v>10</v>
      </c>
      <c r="G5" s="6" t="s">
        <v>25</v>
      </c>
      <c r="H5" s="6" t="s">
        <v>65</v>
      </c>
      <c r="I5" s="11" t="str">
        <f t="shared" si="0"/>
        <v>ENTERED</v>
      </c>
      <c r="J5" s="11" t="str">
        <f t="shared" si="1"/>
        <v>OK</v>
      </c>
    </row>
    <row r="6" spans="1:10" x14ac:dyDescent="0.35">
      <c r="A6" s="6" t="s">
        <v>68</v>
      </c>
      <c r="B6" s="9">
        <v>46082</v>
      </c>
      <c r="C6" s="6" t="s">
        <v>21</v>
      </c>
      <c r="D6" s="6" t="s">
        <v>30</v>
      </c>
      <c r="E6" s="6" t="s">
        <v>28</v>
      </c>
      <c r="F6" s="6">
        <v>12</v>
      </c>
      <c r="G6" s="6" t="s">
        <v>29</v>
      </c>
      <c r="H6" s="6" t="s">
        <v>65</v>
      </c>
      <c r="I6" s="11" t="str">
        <f t="shared" si="0"/>
        <v>ENTERED</v>
      </c>
      <c r="J6" s="11" t="str">
        <f t="shared" si="1"/>
        <v>OK</v>
      </c>
    </row>
    <row r="7" spans="1:10" x14ac:dyDescent="0.35">
      <c r="A7" s="6" t="s">
        <v>69</v>
      </c>
      <c r="B7" s="9">
        <v>46083</v>
      </c>
      <c r="C7" s="6" t="s">
        <v>31</v>
      </c>
      <c r="D7" s="6" t="s">
        <v>26</v>
      </c>
      <c r="E7" s="6" t="s">
        <v>24</v>
      </c>
      <c r="F7" s="6" t="s">
        <v>23</v>
      </c>
      <c r="G7" s="6" t="s">
        <v>29</v>
      </c>
      <c r="H7" s="6" t="s">
        <v>70</v>
      </c>
      <c r="I7" s="11" t="str">
        <f t="shared" si="0"/>
        <v>MISSING FIELD</v>
      </c>
      <c r="J7" s="11" t="str">
        <f t="shared" si="1"/>
        <v>CHECK HOURS</v>
      </c>
    </row>
    <row r="8" spans="1:10" x14ac:dyDescent="0.35">
      <c r="A8" s="6" t="s">
        <v>71</v>
      </c>
      <c r="B8" s="9">
        <v>46083</v>
      </c>
      <c r="C8" s="6" t="s">
        <v>27</v>
      </c>
      <c r="D8" s="6" t="s">
        <v>30</v>
      </c>
      <c r="E8" s="6" t="s">
        <v>24</v>
      </c>
      <c r="F8" s="6">
        <v>25</v>
      </c>
      <c r="G8" s="6" t="s">
        <v>33</v>
      </c>
      <c r="H8" s="6" t="s">
        <v>72</v>
      </c>
      <c r="I8" s="11" t="str">
        <f t="shared" si="0"/>
        <v>ENTERED</v>
      </c>
      <c r="J8" s="11" t="str">
        <f t="shared" si="1"/>
        <v>REVIEW</v>
      </c>
    </row>
    <row r="9" spans="1:10" x14ac:dyDescent="0.35">
      <c r="A9" s="6" t="s">
        <v>73</v>
      </c>
      <c r="B9" s="9">
        <v>46083</v>
      </c>
      <c r="C9" s="6" t="s">
        <v>23</v>
      </c>
      <c r="D9" s="6" t="s">
        <v>26</v>
      </c>
      <c r="E9" s="6" t="s">
        <v>32</v>
      </c>
      <c r="F9" s="6">
        <v>6</v>
      </c>
      <c r="G9" s="6" t="s">
        <v>25</v>
      </c>
      <c r="H9" s="6" t="s">
        <v>74</v>
      </c>
      <c r="I9" s="11" t="str">
        <f t="shared" si="0"/>
        <v>MISSING FIELD</v>
      </c>
      <c r="J9" s="11" t="str">
        <f t="shared" si="1"/>
        <v>OK</v>
      </c>
    </row>
    <row r="10" spans="1:10" x14ac:dyDescent="0.35">
      <c r="A10" s="6" t="s">
        <v>75</v>
      </c>
      <c r="B10" s="9">
        <v>46084</v>
      </c>
      <c r="C10" s="6" t="s">
        <v>35</v>
      </c>
      <c r="D10" s="6" t="s">
        <v>26</v>
      </c>
      <c r="E10" s="6" t="s">
        <v>23</v>
      </c>
      <c r="F10" s="6">
        <v>8</v>
      </c>
      <c r="G10" s="6" t="s">
        <v>29</v>
      </c>
      <c r="H10" s="6" t="s">
        <v>76</v>
      </c>
      <c r="I10" s="11" t="str">
        <f t="shared" si="0"/>
        <v>MISSING FIELD</v>
      </c>
      <c r="J10" s="11" t="str">
        <f t="shared" si="1"/>
        <v>OK</v>
      </c>
    </row>
    <row r="11" spans="1:10" x14ac:dyDescent="0.35">
      <c r="A11" s="6" t="s">
        <v>77</v>
      </c>
      <c r="B11" s="9">
        <v>46084</v>
      </c>
      <c r="C11" s="6" t="s">
        <v>35</v>
      </c>
      <c r="D11" s="6" t="s">
        <v>26</v>
      </c>
      <c r="E11" s="6" t="s">
        <v>24</v>
      </c>
      <c r="F11" s="6" t="s">
        <v>78</v>
      </c>
      <c r="G11" s="6" t="s">
        <v>29</v>
      </c>
      <c r="H11" s="6" t="s">
        <v>79</v>
      </c>
      <c r="I11" s="11" t="str">
        <f t="shared" si="0"/>
        <v>ENTERED</v>
      </c>
      <c r="J11" s="11" t="str">
        <f t="shared" si="1"/>
        <v>CHECK HOURS</v>
      </c>
    </row>
    <row r="12" spans="1:10" x14ac:dyDescent="0.35">
      <c r="A12" s="6" t="s">
        <v>80</v>
      </c>
      <c r="B12" s="9">
        <v>46085</v>
      </c>
      <c r="C12" s="6" t="s">
        <v>81</v>
      </c>
      <c r="D12" s="6" t="s">
        <v>34</v>
      </c>
      <c r="E12" s="6" t="s">
        <v>40</v>
      </c>
      <c r="F12" s="6">
        <v>7</v>
      </c>
      <c r="G12" s="6" t="s">
        <v>33</v>
      </c>
      <c r="H12" s="6" t="s">
        <v>52</v>
      </c>
      <c r="I12" s="11" t="str">
        <f t="shared" si="0"/>
        <v>ENTERED</v>
      </c>
      <c r="J12" s="11" t="str">
        <f t="shared" si="1"/>
        <v>OK</v>
      </c>
    </row>
    <row r="13" spans="1:10" x14ac:dyDescent="0.35">
      <c r="A13" s="6" t="s">
        <v>82</v>
      </c>
      <c r="B13" s="9">
        <v>46085</v>
      </c>
      <c r="C13" s="6" t="s">
        <v>39</v>
      </c>
      <c r="D13" s="6" t="s">
        <v>23</v>
      </c>
      <c r="E13" s="6" t="s">
        <v>28</v>
      </c>
      <c r="F13" s="6">
        <v>9</v>
      </c>
      <c r="G13" s="6" t="s">
        <v>37</v>
      </c>
      <c r="H13" s="6" t="s">
        <v>83</v>
      </c>
      <c r="I13" s="11" t="str">
        <f t="shared" si="0"/>
        <v>MISSING FIELD</v>
      </c>
      <c r="J13" s="11" t="str">
        <f t="shared" si="1"/>
        <v>OK</v>
      </c>
    </row>
    <row r="14" spans="1:10" x14ac:dyDescent="0.35">
      <c r="A14" s="6"/>
      <c r="B14" s="9"/>
      <c r="C14" s="6"/>
      <c r="D14" s="6"/>
      <c r="E14" s="6"/>
      <c r="F14" s="6"/>
      <c r="G14" s="6"/>
      <c r="H14" s="6"/>
      <c r="I14" s="11" t="str">
        <f t="shared" si="0"/>
        <v/>
      </c>
      <c r="J14" s="11" t="str">
        <f t="shared" si="1"/>
        <v/>
      </c>
    </row>
    <row r="15" spans="1:10" x14ac:dyDescent="0.35">
      <c r="A15" s="6"/>
      <c r="B15" s="9"/>
      <c r="C15" s="6"/>
      <c r="D15" s="6"/>
      <c r="E15" s="6"/>
      <c r="F15" s="6"/>
      <c r="G15" s="6"/>
      <c r="H15" s="6"/>
      <c r="I15" s="11" t="str">
        <f t="shared" si="0"/>
        <v/>
      </c>
      <c r="J15" s="11" t="str">
        <f t="shared" si="1"/>
        <v/>
      </c>
    </row>
    <row r="16" spans="1:10" x14ac:dyDescent="0.35">
      <c r="A16" s="6"/>
      <c r="B16" s="9"/>
      <c r="C16" s="6"/>
      <c r="D16" s="6"/>
      <c r="E16" s="6"/>
      <c r="F16" s="6"/>
      <c r="G16" s="6"/>
      <c r="H16" s="6"/>
      <c r="I16" s="11" t="str">
        <f t="shared" si="0"/>
        <v/>
      </c>
      <c r="J16" s="11" t="str">
        <f t="shared" si="1"/>
        <v/>
      </c>
    </row>
    <row r="17" spans="1:10" x14ac:dyDescent="0.35">
      <c r="A17" s="6"/>
      <c r="B17" s="9"/>
      <c r="C17" s="6"/>
      <c r="D17" s="6"/>
      <c r="E17" s="6"/>
      <c r="F17" s="6"/>
      <c r="G17" s="6"/>
      <c r="H17" s="6"/>
      <c r="I17" s="11" t="str">
        <f t="shared" si="0"/>
        <v/>
      </c>
      <c r="J17" s="11" t="str">
        <f t="shared" si="1"/>
        <v/>
      </c>
    </row>
    <row r="18" spans="1:10" x14ac:dyDescent="0.35">
      <c r="A18" s="6"/>
      <c r="B18" s="9"/>
      <c r="C18" s="6"/>
      <c r="D18" s="6"/>
      <c r="E18" s="6"/>
      <c r="F18" s="6"/>
      <c r="G18" s="6"/>
      <c r="H18" s="6"/>
      <c r="I18" s="11" t="str">
        <f t="shared" si="0"/>
        <v/>
      </c>
      <c r="J18" s="11" t="str">
        <f t="shared" si="1"/>
        <v/>
      </c>
    </row>
    <row r="19" spans="1:10" x14ac:dyDescent="0.35">
      <c r="A19" s="6"/>
      <c r="B19" s="9"/>
      <c r="C19" s="6"/>
      <c r="D19" s="6"/>
      <c r="E19" s="6"/>
      <c r="F19" s="6"/>
      <c r="G19" s="6"/>
      <c r="H19" s="6"/>
      <c r="I19" s="11" t="str">
        <f t="shared" si="0"/>
        <v/>
      </c>
      <c r="J19" s="11" t="str">
        <f t="shared" si="1"/>
        <v/>
      </c>
    </row>
    <row r="20" spans="1:10" x14ac:dyDescent="0.35">
      <c r="A20" s="6"/>
      <c r="B20" s="9"/>
      <c r="C20" s="6"/>
      <c r="D20" s="6"/>
      <c r="E20" s="6"/>
      <c r="F20" s="6"/>
      <c r="G20" s="6"/>
      <c r="H20" s="6"/>
      <c r="I20" s="11" t="str">
        <f t="shared" si="0"/>
        <v/>
      </c>
      <c r="J20" s="11" t="str">
        <f t="shared" si="1"/>
        <v/>
      </c>
    </row>
    <row r="21" spans="1:10" x14ac:dyDescent="0.35">
      <c r="A21" s="6"/>
      <c r="B21" s="9"/>
      <c r="C21" s="6"/>
      <c r="D21" s="6"/>
      <c r="E21" s="6"/>
      <c r="F21" s="6"/>
      <c r="G21" s="6"/>
      <c r="H21" s="6"/>
      <c r="I21" s="11" t="str">
        <f t="shared" si="0"/>
        <v/>
      </c>
      <c r="J21" s="11" t="str">
        <f t="shared" si="1"/>
        <v/>
      </c>
    </row>
    <row r="22" spans="1:10" x14ac:dyDescent="0.35">
      <c r="A22" s="6"/>
      <c r="B22" s="9"/>
      <c r="C22" s="6"/>
      <c r="D22" s="6"/>
      <c r="E22" s="6"/>
      <c r="F22" s="6"/>
      <c r="G22" s="6"/>
      <c r="H22" s="6"/>
      <c r="I22" s="11" t="str">
        <f t="shared" si="0"/>
        <v/>
      </c>
      <c r="J22" s="11" t="str">
        <f t="shared" si="1"/>
        <v/>
      </c>
    </row>
    <row r="23" spans="1:10" x14ac:dyDescent="0.35">
      <c r="A23" s="6"/>
      <c r="B23" s="9"/>
      <c r="C23" s="6"/>
      <c r="D23" s="6"/>
      <c r="E23" s="6"/>
      <c r="F23" s="6"/>
      <c r="G23" s="6"/>
      <c r="H23" s="6"/>
      <c r="I23" s="11" t="str">
        <f t="shared" si="0"/>
        <v/>
      </c>
      <c r="J23" s="11" t="str">
        <f t="shared" si="1"/>
        <v/>
      </c>
    </row>
    <row r="24" spans="1:10" x14ac:dyDescent="0.35">
      <c r="A24" s="6"/>
      <c r="B24" s="9"/>
      <c r="C24" s="6"/>
      <c r="D24" s="6"/>
      <c r="E24" s="6"/>
      <c r="F24" s="6"/>
      <c r="G24" s="6"/>
      <c r="H24" s="6"/>
      <c r="I24" s="11" t="str">
        <f t="shared" si="0"/>
        <v/>
      </c>
      <c r="J24" s="11" t="str">
        <f t="shared" si="1"/>
        <v/>
      </c>
    </row>
    <row r="25" spans="1:10" x14ac:dyDescent="0.35">
      <c r="A25" s="6"/>
      <c r="B25" s="9"/>
      <c r="C25" s="6"/>
      <c r="D25" s="6"/>
      <c r="E25" s="6"/>
      <c r="F25" s="6"/>
      <c r="G25" s="6"/>
      <c r="H25" s="6"/>
      <c r="I25" s="11" t="str">
        <f t="shared" si="0"/>
        <v/>
      </c>
      <c r="J25" s="11" t="str">
        <f t="shared" si="1"/>
        <v/>
      </c>
    </row>
    <row r="26" spans="1:10" x14ac:dyDescent="0.35">
      <c r="A26" s="6"/>
      <c r="B26" s="9"/>
      <c r="C26" s="6"/>
      <c r="D26" s="6"/>
      <c r="E26" s="6"/>
      <c r="F26" s="6"/>
      <c r="G26" s="6"/>
      <c r="H26" s="6"/>
      <c r="I26" s="11" t="str">
        <f t="shared" si="0"/>
        <v/>
      </c>
      <c r="J26" s="11" t="str">
        <f t="shared" si="1"/>
        <v/>
      </c>
    </row>
    <row r="27" spans="1:10" x14ac:dyDescent="0.35">
      <c r="A27" s="6"/>
      <c r="B27" s="9"/>
      <c r="C27" s="6"/>
      <c r="D27" s="6"/>
      <c r="E27" s="6"/>
      <c r="F27" s="6"/>
      <c r="G27" s="6"/>
      <c r="H27" s="6"/>
      <c r="I27" s="11" t="str">
        <f t="shared" si="0"/>
        <v/>
      </c>
      <c r="J27" s="11" t="str">
        <f t="shared" si="1"/>
        <v/>
      </c>
    </row>
    <row r="28" spans="1:10" x14ac:dyDescent="0.35">
      <c r="A28" s="6"/>
      <c r="B28" s="9"/>
      <c r="C28" s="6"/>
      <c r="D28" s="6"/>
      <c r="E28" s="6"/>
      <c r="F28" s="6"/>
      <c r="G28" s="6"/>
      <c r="H28" s="6"/>
      <c r="I28" s="11" t="str">
        <f t="shared" si="0"/>
        <v/>
      </c>
      <c r="J28" s="11" t="str">
        <f t="shared" si="1"/>
        <v/>
      </c>
    </row>
    <row r="29" spans="1:10" x14ac:dyDescent="0.35">
      <c r="A29" s="6"/>
      <c r="B29" s="9"/>
      <c r="C29" s="6"/>
      <c r="D29" s="6"/>
      <c r="E29" s="6"/>
      <c r="F29" s="6"/>
      <c r="G29" s="6"/>
      <c r="H29" s="6"/>
      <c r="I29" s="11" t="str">
        <f t="shared" si="0"/>
        <v/>
      </c>
      <c r="J29" s="11" t="str">
        <f t="shared" si="1"/>
        <v/>
      </c>
    </row>
    <row r="30" spans="1:10" x14ac:dyDescent="0.35">
      <c r="A30" s="6"/>
      <c r="B30" s="9"/>
      <c r="C30" s="6"/>
      <c r="D30" s="6"/>
      <c r="E30" s="6"/>
      <c r="F30" s="6"/>
      <c r="G30" s="6"/>
      <c r="H30" s="6"/>
      <c r="I30" s="11" t="str">
        <f t="shared" si="0"/>
        <v/>
      </c>
      <c r="J30" s="11" t="str">
        <f t="shared" si="1"/>
        <v/>
      </c>
    </row>
    <row r="31" spans="1:10" x14ac:dyDescent="0.35">
      <c r="A31" s="6"/>
      <c r="B31" s="9"/>
      <c r="C31" s="6"/>
      <c r="D31" s="6"/>
      <c r="E31" s="6"/>
      <c r="F31" s="6"/>
      <c r="G31" s="6"/>
      <c r="H31" s="6"/>
      <c r="I31" s="11" t="str">
        <f t="shared" si="0"/>
        <v/>
      </c>
      <c r="J31" s="11" t="str">
        <f t="shared" si="1"/>
        <v/>
      </c>
    </row>
    <row r="32" spans="1:10" x14ac:dyDescent="0.35">
      <c r="A32" s="6"/>
      <c r="B32" s="9"/>
      <c r="C32" s="6"/>
      <c r="D32" s="6"/>
      <c r="E32" s="6"/>
      <c r="F32" s="6"/>
      <c r="G32" s="6"/>
      <c r="H32" s="6"/>
      <c r="I32" s="11" t="str">
        <f t="shared" si="0"/>
        <v/>
      </c>
      <c r="J32" s="11" t="str">
        <f t="shared" si="1"/>
        <v/>
      </c>
    </row>
    <row r="33" spans="1:10" x14ac:dyDescent="0.35">
      <c r="A33" s="6"/>
      <c r="B33" s="9"/>
      <c r="C33" s="6"/>
      <c r="D33" s="6"/>
      <c r="E33" s="6"/>
      <c r="F33" s="6"/>
      <c r="G33" s="6"/>
      <c r="H33" s="6"/>
      <c r="I33" s="11" t="str">
        <f t="shared" si="0"/>
        <v/>
      </c>
      <c r="J33" s="11" t="str">
        <f t="shared" si="1"/>
        <v/>
      </c>
    </row>
    <row r="34" spans="1:10" x14ac:dyDescent="0.35">
      <c r="A34" s="6"/>
      <c r="B34" s="9"/>
      <c r="C34" s="6"/>
      <c r="D34" s="6"/>
      <c r="E34" s="6"/>
      <c r="F34" s="6"/>
      <c r="G34" s="6"/>
      <c r="H34" s="6"/>
      <c r="I34" s="11" t="str">
        <f t="shared" si="0"/>
        <v/>
      </c>
      <c r="J34" s="11" t="str">
        <f t="shared" si="1"/>
        <v/>
      </c>
    </row>
    <row r="35" spans="1:10" x14ac:dyDescent="0.35">
      <c r="A35" s="6"/>
      <c r="B35" s="9"/>
      <c r="C35" s="6"/>
      <c r="D35" s="6"/>
      <c r="E35" s="6"/>
      <c r="F35" s="6"/>
      <c r="G35" s="6"/>
      <c r="H35" s="6"/>
      <c r="I35" s="11" t="str">
        <f t="shared" si="0"/>
        <v/>
      </c>
      <c r="J35" s="11" t="str">
        <f t="shared" si="1"/>
        <v/>
      </c>
    </row>
    <row r="36" spans="1:10" x14ac:dyDescent="0.35">
      <c r="A36" s="6"/>
      <c r="B36" s="9"/>
      <c r="C36" s="6"/>
      <c r="D36" s="6"/>
      <c r="E36" s="6"/>
      <c r="F36" s="6"/>
      <c r="G36" s="6"/>
      <c r="H36" s="6"/>
      <c r="I36" s="11" t="str">
        <f t="shared" si="0"/>
        <v/>
      </c>
      <c r="J36" s="11" t="str">
        <f t="shared" si="1"/>
        <v/>
      </c>
    </row>
    <row r="37" spans="1:10" x14ac:dyDescent="0.35">
      <c r="A37" s="6"/>
      <c r="B37" s="9"/>
      <c r="C37" s="6"/>
      <c r="D37" s="6"/>
      <c r="E37" s="6"/>
      <c r="F37" s="6"/>
      <c r="G37" s="6"/>
      <c r="H37" s="6"/>
      <c r="I37" s="11" t="str">
        <f t="shared" si="0"/>
        <v/>
      </c>
      <c r="J37" s="11" t="str">
        <f t="shared" si="1"/>
        <v/>
      </c>
    </row>
    <row r="38" spans="1:10" x14ac:dyDescent="0.35">
      <c r="A38" s="6"/>
      <c r="B38" s="9"/>
      <c r="C38" s="6"/>
      <c r="D38" s="6"/>
      <c r="E38" s="6"/>
      <c r="F38" s="6"/>
      <c r="G38" s="6"/>
      <c r="H38" s="6"/>
      <c r="I38" s="11" t="str">
        <f t="shared" si="0"/>
        <v/>
      </c>
      <c r="J38" s="11" t="str">
        <f t="shared" si="1"/>
        <v/>
      </c>
    </row>
    <row r="39" spans="1:10" x14ac:dyDescent="0.35">
      <c r="A39" s="6"/>
      <c r="B39" s="9"/>
      <c r="C39" s="6"/>
      <c r="D39" s="6"/>
      <c r="E39" s="6"/>
      <c r="F39" s="6"/>
      <c r="G39" s="6"/>
      <c r="H39" s="6"/>
      <c r="I39" s="11" t="str">
        <f t="shared" si="0"/>
        <v/>
      </c>
      <c r="J39" s="11" t="str">
        <f t="shared" si="1"/>
        <v/>
      </c>
    </row>
    <row r="40" spans="1:10" x14ac:dyDescent="0.35">
      <c r="A40" s="6"/>
      <c r="B40" s="9"/>
      <c r="C40" s="6"/>
      <c r="D40" s="6"/>
      <c r="E40" s="6"/>
      <c r="F40" s="6"/>
      <c r="G40" s="6"/>
      <c r="H40" s="6"/>
      <c r="I40" s="11" t="str">
        <f t="shared" si="0"/>
        <v/>
      </c>
      <c r="J40" s="11" t="str">
        <f t="shared" si="1"/>
        <v/>
      </c>
    </row>
    <row r="41" spans="1:10" x14ac:dyDescent="0.35">
      <c r="A41" s="6"/>
      <c r="B41" s="9"/>
      <c r="C41" s="6"/>
      <c r="D41" s="6"/>
      <c r="E41" s="6"/>
      <c r="F41" s="6"/>
      <c r="G41" s="6"/>
      <c r="H41" s="6"/>
      <c r="I41" s="11" t="str">
        <f t="shared" si="0"/>
        <v/>
      </c>
      <c r="J41" s="11" t="str">
        <f t="shared" si="1"/>
        <v/>
      </c>
    </row>
    <row r="42" spans="1:10" x14ac:dyDescent="0.35">
      <c r="A42" s="6"/>
      <c r="B42" s="9"/>
      <c r="C42" s="6"/>
      <c r="D42" s="6"/>
      <c r="E42" s="6"/>
      <c r="F42" s="6"/>
      <c r="G42" s="6"/>
      <c r="H42" s="6"/>
      <c r="I42" s="11" t="str">
        <f t="shared" si="0"/>
        <v/>
      </c>
      <c r="J42" s="11" t="str">
        <f t="shared" si="1"/>
        <v/>
      </c>
    </row>
    <row r="43" spans="1:10" x14ac:dyDescent="0.35">
      <c r="A43" s="6"/>
      <c r="B43" s="9"/>
      <c r="C43" s="6"/>
      <c r="D43" s="6"/>
      <c r="E43" s="6"/>
      <c r="F43" s="6"/>
      <c r="G43" s="6"/>
      <c r="H43" s="6"/>
      <c r="I43" s="11" t="str">
        <f t="shared" si="0"/>
        <v/>
      </c>
      <c r="J43" s="11" t="str">
        <f t="shared" si="1"/>
        <v/>
      </c>
    </row>
    <row r="44" spans="1:10" x14ac:dyDescent="0.35">
      <c r="A44" s="6"/>
      <c r="B44" s="9"/>
      <c r="C44" s="6"/>
      <c r="D44" s="6"/>
      <c r="E44" s="6"/>
      <c r="F44" s="6"/>
      <c r="G44" s="6"/>
      <c r="H44" s="6"/>
      <c r="I44" s="11" t="str">
        <f t="shared" si="0"/>
        <v/>
      </c>
      <c r="J44" s="11" t="str">
        <f t="shared" si="1"/>
        <v/>
      </c>
    </row>
    <row r="45" spans="1:10" x14ac:dyDescent="0.35">
      <c r="A45" s="6"/>
      <c r="B45" s="9"/>
      <c r="C45" s="6"/>
      <c r="D45" s="6"/>
      <c r="E45" s="6"/>
      <c r="F45" s="6"/>
      <c r="G45" s="6"/>
      <c r="H45" s="6"/>
      <c r="I45" s="11" t="str">
        <f t="shared" si="0"/>
        <v/>
      </c>
      <c r="J45" s="11" t="str">
        <f t="shared" si="1"/>
        <v/>
      </c>
    </row>
    <row r="46" spans="1:10" x14ac:dyDescent="0.35">
      <c r="A46" s="6"/>
      <c r="B46" s="9"/>
      <c r="C46" s="6"/>
      <c r="D46" s="6"/>
      <c r="E46" s="6"/>
      <c r="F46" s="6"/>
      <c r="G46" s="6"/>
      <c r="H46" s="6"/>
      <c r="I46" s="11" t="str">
        <f t="shared" si="0"/>
        <v/>
      </c>
      <c r="J46" s="11" t="str">
        <f t="shared" si="1"/>
        <v/>
      </c>
    </row>
    <row r="47" spans="1:10" x14ac:dyDescent="0.35">
      <c r="A47" s="6"/>
      <c r="B47" s="9"/>
      <c r="C47" s="6"/>
      <c r="D47" s="6"/>
      <c r="E47" s="6"/>
      <c r="F47" s="6"/>
      <c r="G47" s="6"/>
      <c r="H47" s="6"/>
      <c r="I47" s="11" t="str">
        <f t="shared" si="0"/>
        <v/>
      </c>
      <c r="J47" s="11" t="str">
        <f t="shared" si="1"/>
        <v/>
      </c>
    </row>
    <row r="48" spans="1:10" x14ac:dyDescent="0.35">
      <c r="A48" s="6"/>
      <c r="B48" s="9"/>
      <c r="C48" s="6"/>
      <c r="D48" s="6"/>
      <c r="E48" s="6"/>
      <c r="F48" s="6"/>
      <c r="G48" s="6"/>
      <c r="H48" s="6"/>
      <c r="I48" s="11" t="str">
        <f t="shared" si="0"/>
        <v/>
      </c>
      <c r="J48" s="11" t="str">
        <f t="shared" si="1"/>
        <v/>
      </c>
    </row>
    <row r="49" spans="1:10" x14ac:dyDescent="0.35">
      <c r="A49" s="6"/>
      <c r="B49" s="9"/>
      <c r="C49" s="6"/>
      <c r="D49" s="6"/>
      <c r="E49" s="6"/>
      <c r="F49" s="6"/>
      <c r="G49" s="6"/>
      <c r="H49" s="6"/>
      <c r="I49" s="11" t="str">
        <f t="shared" si="0"/>
        <v/>
      </c>
      <c r="J49" s="11" t="str">
        <f t="shared" si="1"/>
        <v/>
      </c>
    </row>
    <row r="50" spans="1:10" x14ac:dyDescent="0.35">
      <c r="A50" s="6"/>
      <c r="B50" s="9"/>
      <c r="C50" s="6"/>
      <c r="D50" s="6"/>
      <c r="E50" s="6"/>
      <c r="F50" s="6"/>
      <c r="G50" s="6"/>
      <c r="H50" s="6"/>
      <c r="I50" s="11" t="str">
        <f t="shared" si="0"/>
        <v/>
      </c>
      <c r="J50" s="11" t="str">
        <f t="shared" si="1"/>
        <v/>
      </c>
    </row>
    <row r="51" spans="1:10" x14ac:dyDescent="0.35">
      <c r="A51" s="6"/>
      <c r="B51" s="9"/>
      <c r="C51" s="6"/>
      <c r="D51" s="6"/>
      <c r="E51" s="6"/>
      <c r="F51" s="6"/>
      <c r="G51" s="6"/>
      <c r="H51" s="6"/>
      <c r="I51" s="11" t="str">
        <f t="shared" si="0"/>
        <v/>
      </c>
      <c r="J51" s="11" t="str">
        <f t="shared" si="1"/>
        <v/>
      </c>
    </row>
    <row r="52" spans="1:10" x14ac:dyDescent="0.35">
      <c r="A52" s="6"/>
      <c r="B52" s="9"/>
      <c r="C52" s="6"/>
      <c r="D52" s="6"/>
      <c r="E52" s="6"/>
      <c r="F52" s="6"/>
      <c r="G52" s="6"/>
      <c r="H52" s="6"/>
      <c r="I52" s="11" t="str">
        <f t="shared" si="0"/>
        <v/>
      </c>
      <c r="J52" s="11" t="str">
        <f t="shared" si="1"/>
        <v/>
      </c>
    </row>
    <row r="53" spans="1:10" x14ac:dyDescent="0.35">
      <c r="A53" s="6"/>
      <c r="B53" s="9"/>
      <c r="C53" s="6"/>
      <c r="D53" s="6"/>
      <c r="E53" s="6"/>
      <c r="F53" s="6"/>
      <c r="G53" s="6"/>
      <c r="H53" s="6"/>
      <c r="I53" s="11" t="str">
        <f t="shared" si="0"/>
        <v/>
      </c>
      <c r="J53" s="11" t="str">
        <f t="shared" si="1"/>
        <v/>
      </c>
    </row>
    <row r="54" spans="1:10" x14ac:dyDescent="0.35">
      <c r="A54" s="6"/>
      <c r="B54" s="9"/>
      <c r="C54" s="6"/>
      <c r="D54" s="6"/>
      <c r="E54" s="6"/>
      <c r="F54" s="6"/>
      <c r="G54" s="6"/>
      <c r="H54" s="6"/>
      <c r="I54" s="11" t="str">
        <f t="shared" si="0"/>
        <v/>
      </c>
      <c r="J54" s="11" t="str">
        <f t="shared" si="1"/>
        <v/>
      </c>
    </row>
    <row r="55" spans="1:10" x14ac:dyDescent="0.35">
      <c r="A55" s="6"/>
      <c r="B55" s="9"/>
      <c r="C55" s="6"/>
      <c r="D55" s="6"/>
      <c r="E55" s="6"/>
      <c r="F55" s="6"/>
      <c r="G55" s="6"/>
      <c r="H55" s="6"/>
      <c r="I55" s="11" t="str">
        <f t="shared" si="0"/>
        <v/>
      </c>
      <c r="J55" s="11" t="str">
        <f t="shared" si="1"/>
        <v/>
      </c>
    </row>
    <row r="56" spans="1:10" x14ac:dyDescent="0.35">
      <c r="A56" s="6"/>
      <c r="B56" s="9"/>
      <c r="C56" s="6"/>
      <c r="D56" s="6"/>
      <c r="E56" s="6"/>
      <c r="F56" s="6"/>
      <c r="G56" s="6"/>
      <c r="H56" s="6"/>
      <c r="I56" s="11" t="str">
        <f t="shared" si="0"/>
        <v/>
      </c>
      <c r="J56" s="11" t="str">
        <f t="shared" si="1"/>
        <v/>
      </c>
    </row>
    <row r="57" spans="1:10" x14ac:dyDescent="0.35">
      <c r="A57" s="6"/>
      <c r="B57" s="9"/>
      <c r="C57" s="6"/>
      <c r="D57" s="6"/>
      <c r="E57" s="6"/>
      <c r="F57" s="6"/>
      <c r="G57" s="6"/>
      <c r="H57" s="6"/>
      <c r="I57" s="11" t="str">
        <f t="shared" si="0"/>
        <v/>
      </c>
      <c r="J57" s="11" t="str">
        <f t="shared" si="1"/>
        <v/>
      </c>
    </row>
    <row r="58" spans="1:10" x14ac:dyDescent="0.35">
      <c r="A58" s="6"/>
      <c r="B58" s="9"/>
      <c r="C58" s="6"/>
      <c r="D58" s="6"/>
      <c r="E58" s="6"/>
      <c r="F58" s="6"/>
      <c r="G58" s="6"/>
      <c r="H58" s="6"/>
      <c r="I58" s="11" t="str">
        <f t="shared" si="0"/>
        <v/>
      </c>
      <c r="J58" s="11" t="str">
        <f t="shared" si="1"/>
        <v/>
      </c>
    </row>
    <row r="59" spans="1:10" x14ac:dyDescent="0.35">
      <c r="A59" s="6"/>
      <c r="B59" s="9"/>
      <c r="C59" s="6"/>
      <c r="D59" s="6"/>
      <c r="E59" s="6"/>
      <c r="F59" s="6"/>
      <c r="G59" s="6"/>
      <c r="H59" s="6"/>
      <c r="I59" s="11" t="str">
        <f t="shared" si="0"/>
        <v/>
      </c>
      <c r="J59" s="11" t="str">
        <f t="shared" si="1"/>
        <v/>
      </c>
    </row>
    <row r="60" spans="1:10" x14ac:dyDescent="0.35">
      <c r="A60" s="6"/>
      <c r="B60" s="9"/>
      <c r="C60" s="6"/>
      <c r="D60" s="6"/>
      <c r="E60" s="6"/>
      <c r="F60" s="6"/>
      <c r="G60" s="6"/>
      <c r="H60" s="6"/>
      <c r="I60" s="11" t="str">
        <f t="shared" si="0"/>
        <v/>
      </c>
      <c r="J60" s="11" t="str">
        <f t="shared" si="1"/>
        <v/>
      </c>
    </row>
    <row r="61" spans="1:10" x14ac:dyDescent="0.35">
      <c r="A61" s="6"/>
      <c r="B61" s="9"/>
      <c r="C61" s="6"/>
      <c r="D61" s="6"/>
      <c r="E61" s="6"/>
      <c r="F61" s="6"/>
      <c r="G61" s="6"/>
      <c r="H61" s="6"/>
      <c r="I61" s="11" t="str">
        <f t="shared" si="0"/>
        <v/>
      </c>
      <c r="J61" s="11" t="str">
        <f t="shared" si="1"/>
        <v/>
      </c>
    </row>
    <row r="62" spans="1:10" x14ac:dyDescent="0.35">
      <c r="A62" s="6"/>
      <c r="B62" s="9"/>
      <c r="C62" s="6"/>
      <c r="D62" s="6"/>
      <c r="E62" s="6"/>
      <c r="F62" s="6"/>
      <c r="G62" s="6"/>
      <c r="H62" s="6"/>
      <c r="I62" s="11" t="str">
        <f t="shared" si="0"/>
        <v/>
      </c>
      <c r="J62" s="11" t="str">
        <f t="shared" si="1"/>
        <v/>
      </c>
    </row>
    <row r="63" spans="1:10" x14ac:dyDescent="0.35">
      <c r="A63" s="6"/>
      <c r="B63" s="9"/>
      <c r="C63" s="6"/>
      <c r="D63" s="6"/>
      <c r="E63" s="6"/>
      <c r="F63" s="6"/>
      <c r="G63" s="6"/>
      <c r="H63" s="6"/>
      <c r="I63" s="11" t="str">
        <f t="shared" si="0"/>
        <v/>
      </c>
      <c r="J63" s="11" t="str">
        <f t="shared" si="1"/>
        <v/>
      </c>
    </row>
    <row r="64" spans="1:10" x14ac:dyDescent="0.35">
      <c r="A64" s="6"/>
      <c r="B64" s="9"/>
      <c r="C64" s="6"/>
      <c r="D64" s="6"/>
      <c r="E64" s="6"/>
      <c r="F64" s="6"/>
      <c r="G64" s="6"/>
      <c r="H64" s="6"/>
      <c r="I64" s="11" t="str">
        <f t="shared" si="0"/>
        <v/>
      </c>
      <c r="J64" s="11" t="str">
        <f t="shared" si="1"/>
        <v/>
      </c>
    </row>
    <row r="65" spans="1:10" x14ac:dyDescent="0.35">
      <c r="A65" s="6"/>
      <c r="B65" s="9"/>
      <c r="C65" s="6"/>
      <c r="D65" s="6"/>
      <c r="E65" s="6"/>
      <c r="F65" s="6"/>
      <c r="G65" s="6"/>
      <c r="H65" s="6"/>
      <c r="I65" s="11" t="str">
        <f t="shared" si="0"/>
        <v/>
      </c>
      <c r="J65" s="11" t="str">
        <f t="shared" si="1"/>
        <v/>
      </c>
    </row>
    <row r="66" spans="1:10" x14ac:dyDescent="0.35">
      <c r="A66" s="6"/>
      <c r="B66" s="9"/>
      <c r="C66" s="6"/>
      <c r="D66" s="6"/>
      <c r="E66" s="6"/>
      <c r="F66" s="6"/>
      <c r="G66" s="6"/>
      <c r="H66" s="6"/>
      <c r="I66" s="11" t="str">
        <f t="shared" si="0"/>
        <v/>
      </c>
      <c r="J66" s="11" t="str">
        <f t="shared" si="1"/>
        <v/>
      </c>
    </row>
    <row r="67" spans="1:10" x14ac:dyDescent="0.35">
      <c r="A67" s="6"/>
      <c r="B67" s="9"/>
      <c r="C67" s="6"/>
      <c r="D67" s="6"/>
      <c r="E67" s="6"/>
      <c r="F67" s="6"/>
      <c r="G67" s="6"/>
      <c r="H67" s="6"/>
      <c r="I67" s="11" t="str">
        <f t="shared" si="0"/>
        <v/>
      </c>
      <c r="J67" s="11" t="str">
        <f t="shared" si="1"/>
        <v/>
      </c>
    </row>
    <row r="68" spans="1:10" x14ac:dyDescent="0.35">
      <c r="A68" s="6"/>
      <c r="B68" s="9"/>
      <c r="C68" s="6"/>
      <c r="D68" s="6"/>
      <c r="E68" s="6"/>
      <c r="F68" s="6"/>
      <c r="G68" s="6"/>
      <c r="H68" s="6"/>
      <c r="I68" s="11" t="str">
        <f t="shared" ref="I68:I131" si="2">IF(A68="","",IF(OR(B68="",C68="",D68="",E68="",F68="",G68=""),"MISSING FIELD","ENTERED"))</f>
        <v/>
      </c>
      <c r="J68" s="11" t="str">
        <f t="shared" ref="J68:J131" si="3">IF(A68="","",IF(OR(F68="",NOT(ISNUMBER(F68))),"CHECK HOURS",IF(F68&gt;16,"REVIEW","OK")))</f>
        <v/>
      </c>
    </row>
    <row r="69" spans="1:10" x14ac:dyDescent="0.35">
      <c r="A69" s="6"/>
      <c r="B69" s="9"/>
      <c r="C69" s="6"/>
      <c r="D69" s="6"/>
      <c r="E69" s="6"/>
      <c r="F69" s="6"/>
      <c r="G69" s="6"/>
      <c r="H69" s="6"/>
      <c r="I69" s="11" t="str">
        <f t="shared" si="2"/>
        <v/>
      </c>
      <c r="J69" s="11" t="str">
        <f t="shared" si="3"/>
        <v/>
      </c>
    </row>
    <row r="70" spans="1:10" x14ac:dyDescent="0.35">
      <c r="A70" s="6"/>
      <c r="B70" s="9"/>
      <c r="C70" s="6"/>
      <c r="D70" s="6"/>
      <c r="E70" s="6"/>
      <c r="F70" s="6"/>
      <c r="G70" s="6"/>
      <c r="H70" s="6"/>
      <c r="I70" s="11" t="str">
        <f t="shared" si="2"/>
        <v/>
      </c>
      <c r="J70" s="11" t="str">
        <f t="shared" si="3"/>
        <v/>
      </c>
    </row>
    <row r="71" spans="1:10" x14ac:dyDescent="0.35">
      <c r="A71" s="6"/>
      <c r="B71" s="9"/>
      <c r="C71" s="6"/>
      <c r="D71" s="6"/>
      <c r="E71" s="6"/>
      <c r="F71" s="6"/>
      <c r="G71" s="6"/>
      <c r="H71" s="6"/>
      <c r="I71" s="11" t="str">
        <f t="shared" si="2"/>
        <v/>
      </c>
      <c r="J71" s="11" t="str">
        <f t="shared" si="3"/>
        <v/>
      </c>
    </row>
    <row r="72" spans="1:10" x14ac:dyDescent="0.35">
      <c r="A72" s="6"/>
      <c r="B72" s="9"/>
      <c r="C72" s="6"/>
      <c r="D72" s="6"/>
      <c r="E72" s="6"/>
      <c r="F72" s="6"/>
      <c r="G72" s="6"/>
      <c r="H72" s="6"/>
      <c r="I72" s="11" t="str">
        <f t="shared" si="2"/>
        <v/>
      </c>
      <c r="J72" s="11" t="str">
        <f t="shared" si="3"/>
        <v/>
      </c>
    </row>
    <row r="73" spans="1:10" x14ac:dyDescent="0.35">
      <c r="A73" s="6"/>
      <c r="B73" s="9"/>
      <c r="C73" s="6"/>
      <c r="D73" s="6"/>
      <c r="E73" s="6"/>
      <c r="F73" s="6"/>
      <c r="G73" s="6"/>
      <c r="H73" s="6"/>
      <c r="I73" s="11" t="str">
        <f t="shared" si="2"/>
        <v/>
      </c>
      <c r="J73" s="11" t="str">
        <f t="shared" si="3"/>
        <v/>
      </c>
    </row>
    <row r="74" spans="1:10" x14ac:dyDescent="0.35">
      <c r="A74" s="6"/>
      <c r="B74" s="9"/>
      <c r="C74" s="6"/>
      <c r="D74" s="6"/>
      <c r="E74" s="6"/>
      <c r="F74" s="6"/>
      <c r="G74" s="6"/>
      <c r="H74" s="6"/>
      <c r="I74" s="11" t="str">
        <f t="shared" si="2"/>
        <v/>
      </c>
      <c r="J74" s="11" t="str">
        <f t="shared" si="3"/>
        <v/>
      </c>
    </row>
    <row r="75" spans="1:10" x14ac:dyDescent="0.35">
      <c r="A75" s="6"/>
      <c r="B75" s="9"/>
      <c r="C75" s="6"/>
      <c r="D75" s="6"/>
      <c r="E75" s="6"/>
      <c r="F75" s="6"/>
      <c r="G75" s="6"/>
      <c r="H75" s="6"/>
      <c r="I75" s="11" t="str">
        <f t="shared" si="2"/>
        <v/>
      </c>
      <c r="J75" s="11" t="str">
        <f t="shared" si="3"/>
        <v/>
      </c>
    </row>
    <row r="76" spans="1:10" x14ac:dyDescent="0.35">
      <c r="A76" s="6"/>
      <c r="B76" s="9"/>
      <c r="C76" s="6"/>
      <c r="D76" s="6"/>
      <c r="E76" s="6"/>
      <c r="F76" s="6"/>
      <c r="G76" s="6"/>
      <c r="H76" s="6"/>
      <c r="I76" s="11" t="str">
        <f t="shared" si="2"/>
        <v/>
      </c>
      <c r="J76" s="11" t="str">
        <f t="shared" si="3"/>
        <v/>
      </c>
    </row>
    <row r="77" spans="1:10" x14ac:dyDescent="0.35">
      <c r="A77" s="6"/>
      <c r="B77" s="9"/>
      <c r="C77" s="6"/>
      <c r="D77" s="6"/>
      <c r="E77" s="6"/>
      <c r="F77" s="6"/>
      <c r="G77" s="6"/>
      <c r="H77" s="6"/>
      <c r="I77" s="11" t="str">
        <f t="shared" si="2"/>
        <v/>
      </c>
      <c r="J77" s="11" t="str">
        <f t="shared" si="3"/>
        <v/>
      </c>
    </row>
    <row r="78" spans="1:10" x14ac:dyDescent="0.35">
      <c r="A78" s="6"/>
      <c r="B78" s="9"/>
      <c r="C78" s="6"/>
      <c r="D78" s="6"/>
      <c r="E78" s="6"/>
      <c r="F78" s="6"/>
      <c r="G78" s="6"/>
      <c r="H78" s="6"/>
      <c r="I78" s="11" t="str">
        <f t="shared" si="2"/>
        <v/>
      </c>
      <c r="J78" s="11" t="str">
        <f t="shared" si="3"/>
        <v/>
      </c>
    </row>
    <row r="79" spans="1:10" x14ac:dyDescent="0.35">
      <c r="A79" s="6"/>
      <c r="B79" s="9"/>
      <c r="C79" s="6"/>
      <c r="D79" s="6"/>
      <c r="E79" s="6"/>
      <c r="F79" s="6"/>
      <c r="G79" s="6"/>
      <c r="H79" s="6"/>
      <c r="I79" s="11" t="str">
        <f t="shared" si="2"/>
        <v/>
      </c>
      <c r="J79" s="11" t="str">
        <f t="shared" si="3"/>
        <v/>
      </c>
    </row>
    <row r="80" spans="1:10" x14ac:dyDescent="0.35">
      <c r="A80" s="6"/>
      <c r="B80" s="9"/>
      <c r="C80" s="6"/>
      <c r="D80" s="6"/>
      <c r="E80" s="6"/>
      <c r="F80" s="6"/>
      <c r="G80" s="6"/>
      <c r="H80" s="6"/>
      <c r="I80" s="11" t="str">
        <f t="shared" si="2"/>
        <v/>
      </c>
      <c r="J80" s="11" t="str">
        <f t="shared" si="3"/>
        <v/>
      </c>
    </row>
    <row r="81" spans="1:10" x14ac:dyDescent="0.35">
      <c r="A81" s="6"/>
      <c r="B81" s="9"/>
      <c r="C81" s="6"/>
      <c r="D81" s="6"/>
      <c r="E81" s="6"/>
      <c r="F81" s="6"/>
      <c r="G81" s="6"/>
      <c r="H81" s="6"/>
      <c r="I81" s="11" t="str">
        <f t="shared" si="2"/>
        <v/>
      </c>
      <c r="J81" s="11" t="str">
        <f t="shared" si="3"/>
        <v/>
      </c>
    </row>
    <row r="82" spans="1:10" x14ac:dyDescent="0.35">
      <c r="A82" s="6"/>
      <c r="B82" s="9"/>
      <c r="C82" s="6"/>
      <c r="D82" s="6"/>
      <c r="E82" s="6"/>
      <c r="F82" s="6"/>
      <c r="G82" s="6"/>
      <c r="H82" s="6"/>
      <c r="I82" s="11" t="str">
        <f t="shared" si="2"/>
        <v/>
      </c>
      <c r="J82" s="11" t="str">
        <f t="shared" si="3"/>
        <v/>
      </c>
    </row>
    <row r="83" spans="1:10" x14ac:dyDescent="0.35">
      <c r="A83" s="6"/>
      <c r="B83" s="9"/>
      <c r="C83" s="6"/>
      <c r="D83" s="6"/>
      <c r="E83" s="6"/>
      <c r="F83" s="6"/>
      <c r="G83" s="6"/>
      <c r="H83" s="6"/>
      <c r="I83" s="11" t="str">
        <f t="shared" si="2"/>
        <v/>
      </c>
      <c r="J83" s="11" t="str">
        <f t="shared" si="3"/>
        <v/>
      </c>
    </row>
    <row r="84" spans="1:10" x14ac:dyDescent="0.35">
      <c r="A84" s="6"/>
      <c r="B84" s="9"/>
      <c r="C84" s="6"/>
      <c r="D84" s="6"/>
      <c r="E84" s="6"/>
      <c r="F84" s="6"/>
      <c r="G84" s="6"/>
      <c r="H84" s="6"/>
      <c r="I84" s="11" t="str">
        <f t="shared" si="2"/>
        <v/>
      </c>
      <c r="J84" s="11" t="str">
        <f t="shared" si="3"/>
        <v/>
      </c>
    </row>
    <row r="85" spans="1:10" x14ac:dyDescent="0.35">
      <c r="A85" s="6"/>
      <c r="B85" s="9"/>
      <c r="C85" s="6"/>
      <c r="D85" s="6"/>
      <c r="E85" s="6"/>
      <c r="F85" s="6"/>
      <c r="G85" s="6"/>
      <c r="H85" s="6"/>
      <c r="I85" s="11" t="str">
        <f t="shared" si="2"/>
        <v/>
      </c>
      <c r="J85" s="11" t="str">
        <f t="shared" si="3"/>
        <v/>
      </c>
    </row>
    <row r="86" spans="1:10" x14ac:dyDescent="0.35">
      <c r="A86" s="6"/>
      <c r="B86" s="9"/>
      <c r="C86" s="6"/>
      <c r="D86" s="6"/>
      <c r="E86" s="6"/>
      <c r="F86" s="6"/>
      <c r="G86" s="6"/>
      <c r="H86" s="6"/>
      <c r="I86" s="11" t="str">
        <f t="shared" si="2"/>
        <v/>
      </c>
      <c r="J86" s="11" t="str">
        <f t="shared" si="3"/>
        <v/>
      </c>
    </row>
    <row r="87" spans="1:10" x14ac:dyDescent="0.35">
      <c r="A87" s="6"/>
      <c r="B87" s="9"/>
      <c r="C87" s="6"/>
      <c r="D87" s="6"/>
      <c r="E87" s="6"/>
      <c r="F87" s="6"/>
      <c r="G87" s="6"/>
      <c r="H87" s="6"/>
      <c r="I87" s="11" t="str">
        <f t="shared" si="2"/>
        <v/>
      </c>
      <c r="J87" s="11" t="str">
        <f t="shared" si="3"/>
        <v/>
      </c>
    </row>
    <row r="88" spans="1:10" x14ac:dyDescent="0.35">
      <c r="A88" s="6"/>
      <c r="B88" s="9"/>
      <c r="C88" s="6"/>
      <c r="D88" s="6"/>
      <c r="E88" s="6"/>
      <c r="F88" s="6"/>
      <c r="G88" s="6"/>
      <c r="H88" s="6"/>
      <c r="I88" s="11" t="str">
        <f t="shared" si="2"/>
        <v/>
      </c>
      <c r="J88" s="11" t="str">
        <f t="shared" si="3"/>
        <v/>
      </c>
    </row>
    <row r="89" spans="1:10" x14ac:dyDescent="0.35">
      <c r="A89" s="6"/>
      <c r="B89" s="9"/>
      <c r="C89" s="6"/>
      <c r="D89" s="6"/>
      <c r="E89" s="6"/>
      <c r="F89" s="6"/>
      <c r="G89" s="6"/>
      <c r="H89" s="6"/>
      <c r="I89" s="11" t="str">
        <f t="shared" si="2"/>
        <v/>
      </c>
      <c r="J89" s="11" t="str">
        <f t="shared" si="3"/>
        <v/>
      </c>
    </row>
    <row r="90" spans="1:10" x14ac:dyDescent="0.35">
      <c r="A90" s="6"/>
      <c r="B90" s="9"/>
      <c r="C90" s="6"/>
      <c r="D90" s="6"/>
      <c r="E90" s="6"/>
      <c r="F90" s="6"/>
      <c r="G90" s="6"/>
      <c r="H90" s="6"/>
      <c r="I90" s="11" t="str">
        <f t="shared" si="2"/>
        <v/>
      </c>
      <c r="J90" s="11" t="str">
        <f t="shared" si="3"/>
        <v/>
      </c>
    </row>
    <row r="91" spans="1:10" x14ac:dyDescent="0.35">
      <c r="A91" s="6"/>
      <c r="B91" s="9"/>
      <c r="C91" s="6"/>
      <c r="D91" s="6"/>
      <c r="E91" s="6"/>
      <c r="F91" s="6"/>
      <c r="G91" s="6"/>
      <c r="H91" s="6"/>
      <c r="I91" s="11" t="str">
        <f t="shared" si="2"/>
        <v/>
      </c>
      <c r="J91" s="11" t="str">
        <f t="shared" si="3"/>
        <v/>
      </c>
    </row>
    <row r="92" spans="1:10" x14ac:dyDescent="0.35">
      <c r="A92" s="6"/>
      <c r="B92" s="9"/>
      <c r="C92" s="6"/>
      <c r="D92" s="6"/>
      <c r="E92" s="6"/>
      <c r="F92" s="6"/>
      <c r="G92" s="6"/>
      <c r="H92" s="6"/>
      <c r="I92" s="11" t="str">
        <f t="shared" si="2"/>
        <v/>
      </c>
      <c r="J92" s="11" t="str">
        <f t="shared" si="3"/>
        <v/>
      </c>
    </row>
    <row r="93" spans="1:10" x14ac:dyDescent="0.35">
      <c r="A93" s="6"/>
      <c r="B93" s="9"/>
      <c r="C93" s="6"/>
      <c r="D93" s="6"/>
      <c r="E93" s="6"/>
      <c r="F93" s="6"/>
      <c r="G93" s="6"/>
      <c r="H93" s="6"/>
      <c r="I93" s="11" t="str">
        <f t="shared" si="2"/>
        <v/>
      </c>
      <c r="J93" s="11" t="str">
        <f t="shared" si="3"/>
        <v/>
      </c>
    </row>
    <row r="94" spans="1:10" x14ac:dyDescent="0.35">
      <c r="A94" s="6"/>
      <c r="B94" s="9"/>
      <c r="C94" s="6"/>
      <c r="D94" s="6"/>
      <c r="E94" s="6"/>
      <c r="F94" s="6"/>
      <c r="G94" s="6"/>
      <c r="H94" s="6"/>
      <c r="I94" s="11" t="str">
        <f t="shared" si="2"/>
        <v/>
      </c>
      <c r="J94" s="11" t="str">
        <f t="shared" si="3"/>
        <v/>
      </c>
    </row>
    <row r="95" spans="1:10" x14ac:dyDescent="0.35">
      <c r="A95" s="6"/>
      <c r="B95" s="9"/>
      <c r="C95" s="6"/>
      <c r="D95" s="6"/>
      <c r="E95" s="6"/>
      <c r="F95" s="6"/>
      <c r="G95" s="6"/>
      <c r="H95" s="6"/>
      <c r="I95" s="11" t="str">
        <f t="shared" si="2"/>
        <v/>
      </c>
      <c r="J95" s="11" t="str">
        <f t="shared" si="3"/>
        <v/>
      </c>
    </row>
    <row r="96" spans="1:10" x14ac:dyDescent="0.35">
      <c r="A96" s="6"/>
      <c r="B96" s="9"/>
      <c r="C96" s="6"/>
      <c r="D96" s="6"/>
      <c r="E96" s="6"/>
      <c r="F96" s="6"/>
      <c r="G96" s="6"/>
      <c r="H96" s="6"/>
      <c r="I96" s="11" t="str">
        <f t="shared" si="2"/>
        <v/>
      </c>
      <c r="J96" s="11" t="str">
        <f t="shared" si="3"/>
        <v/>
      </c>
    </row>
    <row r="97" spans="1:10" x14ac:dyDescent="0.35">
      <c r="A97" s="6"/>
      <c r="B97" s="9"/>
      <c r="C97" s="6"/>
      <c r="D97" s="6"/>
      <c r="E97" s="6"/>
      <c r="F97" s="6"/>
      <c r="G97" s="6"/>
      <c r="H97" s="6"/>
      <c r="I97" s="11" t="str">
        <f t="shared" si="2"/>
        <v/>
      </c>
      <c r="J97" s="11" t="str">
        <f t="shared" si="3"/>
        <v/>
      </c>
    </row>
    <row r="98" spans="1:10" x14ac:dyDescent="0.35">
      <c r="A98" s="6"/>
      <c r="B98" s="9"/>
      <c r="C98" s="6"/>
      <c r="D98" s="6"/>
      <c r="E98" s="6"/>
      <c r="F98" s="6"/>
      <c r="G98" s="6"/>
      <c r="H98" s="6"/>
      <c r="I98" s="11" t="str">
        <f t="shared" si="2"/>
        <v/>
      </c>
      <c r="J98" s="11" t="str">
        <f t="shared" si="3"/>
        <v/>
      </c>
    </row>
    <row r="99" spans="1:10" x14ac:dyDescent="0.35">
      <c r="A99" s="6"/>
      <c r="B99" s="9"/>
      <c r="C99" s="6"/>
      <c r="D99" s="6"/>
      <c r="E99" s="6"/>
      <c r="F99" s="6"/>
      <c r="G99" s="6"/>
      <c r="H99" s="6"/>
      <c r="I99" s="11" t="str">
        <f t="shared" si="2"/>
        <v/>
      </c>
      <c r="J99" s="11" t="str">
        <f t="shared" si="3"/>
        <v/>
      </c>
    </row>
    <row r="100" spans="1:10" x14ac:dyDescent="0.35">
      <c r="A100" s="6"/>
      <c r="B100" s="9"/>
      <c r="C100" s="6"/>
      <c r="D100" s="6"/>
      <c r="E100" s="6"/>
      <c r="F100" s="6"/>
      <c r="G100" s="6"/>
      <c r="H100" s="6"/>
      <c r="I100" s="11" t="str">
        <f t="shared" si="2"/>
        <v/>
      </c>
      <c r="J100" s="11" t="str">
        <f t="shared" si="3"/>
        <v/>
      </c>
    </row>
    <row r="101" spans="1:10" x14ac:dyDescent="0.35">
      <c r="A101" s="6"/>
      <c r="B101" s="9"/>
      <c r="C101" s="6"/>
      <c r="D101" s="6"/>
      <c r="E101" s="6"/>
      <c r="F101" s="6"/>
      <c r="G101" s="6"/>
      <c r="H101" s="6"/>
      <c r="I101" s="11" t="str">
        <f t="shared" si="2"/>
        <v/>
      </c>
      <c r="J101" s="11" t="str">
        <f t="shared" si="3"/>
        <v/>
      </c>
    </row>
    <row r="102" spans="1:10" x14ac:dyDescent="0.35">
      <c r="A102" s="6"/>
      <c r="B102" s="9"/>
      <c r="C102" s="6"/>
      <c r="D102" s="6"/>
      <c r="E102" s="6"/>
      <c r="F102" s="6"/>
      <c r="G102" s="6"/>
      <c r="H102" s="6"/>
      <c r="I102" s="11" t="str">
        <f t="shared" si="2"/>
        <v/>
      </c>
      <c r="J102" s="11" t="str">
        <f t="shared" si="3"/>
        <v/>
      </c>
    </row>
    <row r="103" spans="1:10" x14ac:dyDescent="0.35">
      <c r="A103" s="6"/>
      <c r="B103" s="9"/>
      <c r="C103" s="6"/>
      <c r="D103" s="6"/>
      <c r="E103" s="6"/>
      <c r="F103" s="6"/>
      <c r="G103" s="6"/>
      <c r="H103" s="6"/>
      <c r="I103" s="11" t="str">
        <f t="shared" si="2"/>
        <v/>
      </c>
      <c r="J103" s="11" t="str">
        <f t="shared" si="3"/>
        <v/>
      </c>
    </row>
    <row r="104" spans="1:10" x14ac:dyDescent="0.35">
      <c r="A104" s="6"/>
      <c r="B104" s="9"/>
      <c r="C104" s="6"/>
      <c r="D104" s="6"/>
      <c r="E104" s="6"/>
      <c r="F104" s="6"/>
      <c r="G104" s="6"/>
      <c r="H104" s="6"/>
      <c r="I104" s="11" t="str">
        <f t="shared" si="2"/>
        <v/>
      </c>
      <c r="J104" s="11" t="str">
        <f t="shared" si="3"/>
        <v/>
      </c>
    </row>
    <row r="105" spans="1:10" x14ac:dyDescent="0.35">
      <c r="A105" s="6"/>
      <c r="B105" s="9"/>
      <c r="C105" s="6"/>
      <c r="D105" s="6"/>
      <c r="E105" s="6"/>
      <c r="F105" s="6"/>
      <c r="G105" s="6"/>
      <c r="H105" s="6"/>
      <c r="I105" s="11" t="str">
        <f t="shared" si="2"/>
        <v/>
      </c>
      <c r="J105" s="11" t="str">
        <f t="shared" si="3"/>
        <v/>
      </c>
    </row>
    <row r="106" spans="1:10" x14ac:dyDescent="0.35">
      <c r="A106" s="6"/>
      <c r="B106" s="9"/>
      <c r="C106" s="6"/>
      <c r="D106" s="6"/>
      <c r="E106" s="6"/>
      <c r="F106" s="6"/>
      <c r="G106" s="6"/>
      <c r="H106" s="6"/>
      <c r="I106" s="11" t="str">
        <f t="shared" si="2"/>
        <v/>
      </c>
      <c r="J106" s="11" t="str">
        <f t="shared" si="3"/>
        <v/>
      </c>
    </row>
    <row r="107" spans="1:10" x14ac:dyDescent="0.35">
      <c r="A107" s="6"/>
      <c r="B107" s="9"/>
      <c r="C107" s="6"/>
      <c r="D107" s="6"/>
      <c r="E107" s="6"/>
      <c r="F107" s="6"/>
      <c r="G107" s="6"/>
      <c r="H107" s="6"/>
      <c r="I107" s="11" t="str">
        <f t="shared" si="2"/>
        <v/>
      </c>
      <c r="J107" s="11" t="str">
        <f t="shared" si="3"/>
        <v/>
      </c>
    </row>
    <row r="108" spans="1:10" x14ac:dyDescent="0.35">
      <c r="A108" s="6"/>
      <c r="B108" s="9"/>
      <c r="C108" s="6"/>
      <c r="D108" s="6"/>
      <c r="E108" s="6"/>
      <c r="F108" s="6"/>
      <c r="G108" s="6"/>
      <c r="H108" s="6"/>
      <c r="I108" s="11" t="str">
        <f t="shared" si="2"/>
        <v/>
      </c>
      <c r="J108" s="11" t="str">
        <f t="shared" si="3"/>
        <v/>
      </c>
    </row>
    <row r="109" spans="1:10" x14ac:dyDescent="0.35">
      <c r="A109" s="6"/>
      <c r="B109" s="9"/>
      <c r="C109" s="6"/>
      <c r="D109" s="6"/>
      <c r="E109" s="6"/>
      <c r="F109" s="6"/>
      <c r="G109" s="6"/>
      <c r="H109" s="6"/>
      <c r="I109" s="11" t="str">
        <f t="shared" si="2"/>
        <v/>
      </c>
      <c r="J109" s="11" t="str">
        <f t="shared" si="3"/>
        <v/>
      </c>
    </row>
    <row r="110" spans="1:10" x14ac:dyDescent="0.35">
      <c r="A110" s="6"/>
      <c r="B110" s="9"/>
      <c r="C110" s="6"/>
      <c r="D110" s="6"/>
      <c r="E110" s="6"/>
      <c r="F110" s="6"/>
      <c r="G110" s="6"/>
      <c r="H110" s="6"/>
      <c r="I110" s="11" t="str">
        <f t="shared" si="2"/>
        <v/>
      </c>
      <c r="J110" s="11" t="str">
        <f t="shared" si="3"/>
        <v/>
      </c>
    </row>
    <row r="111" spans="1:10" x14ac:dyDescent="0.35">
      <c r="A111" s="6"/>
      <c r="B111" s="9"/>
      <c r="C111" s="6"/>
      <c r="D111" s="6"/>
      <c r="E111" s="6"/>
      <c r="F111" s="6"/>
      <c r="G111" s="6"/>
      <c r="H111" s="6"/>
      <c r="I111" s="11" t="str">
        <f t="shared" si="2"/>
        <v/>
      </c>
      <c r="J111" s="11" t="str">
        <f t="shared" si="3"/>
        <v/>
      </c>
    </row>
    <row r="112" spans="1:10" x14ac:dyDescent="0.35">
      <c r="A112" s="6"/>
      <c r="B112" s="9"/>
      <c r="C112" s="6"/>
      <c r="D112" s="6"/>
      <c r="E112" s="6"/>
      <c r="F112" s="6"/>
      <c r="G112" s="6"/>
      <c r="H112" s="6"/>
      <c r="I112" s="11" t="str">
        <f t="shared" si="2"/>
        <v/>
      </c>
      <c r="J112" s="11" t="str">
        <f t="shared" si="3"/>
        <v/>
      </c>
    </row>
    <row r="113" spans="1:10" x14ac:dyDescent="0.35">
      <c r="A113" s="6"/>
      <c r="B113" s="9"/>
      <c r="C113" s="6"/>
      <c r="D113" s="6"/>
      <c r="E113" s="6"/>
      <c r="F113" s="6"/>
      <c r="G113" s="6"/>
      <c r="H113" s="6"/>
      <c r="I113" s="11" t="str">
        <f t="shared" si="2"/>
        <v/>
      </c>
      <c r="J113" s="11" t="str">
        <f t="shared" si="3"/>
        <v/>
      </c>
    </row>
    <row r="114" spans="1:10" x14ac:dyDescent="0.35">
      <c r="A114" s="6"/>
      <c r="B114" s="9"/>
      <c r="C114" s="6"/>
      <c r="D114" s="6"/>
      <c r="E114" s="6"/>
      <c r="F114" s="6"/>
      <c r="G114" s="6"/>
      <c r="H114" s="6"/>
      <c r="I114" s="11" t="str">
        <f t="shared" si="2"/>
        <v/>
      </c>
      <c r="J114" s="11" t="str">
        <f t="shared" si="3"/>
        <v/>
      </c>
    </row>
    <row r="115" spans="1:10" x14ac:dyDescent="0.35">
      <c r="A115" s="6"/>
      <c r="B115" s="9"/>
      <c r="C115" s="6"/>
      <c r="D115" s="6"/>
      <c r="E115" s="6"/>
      <c r="F115" s="6"/>
      <c r="G115" s="6"/>
      <c r="H115" s="6"/>
      <c r="I115" s="11" t="str">
        <f t="shared" si="2"/>
        <v/>
      </c>
      <c r="J115" s="11" t="str">
        <f t="shared" si="3"/>
        <v/>
      </c>
    </row>
    <row r="116" spans="1:10" x14ac:dyDescent="0.35">
      <c r="A116" s="6"/>
      <c r="B116" s="9"/>
      <c r="C116" s="6"/>
      <c r="D116" s="6"/>
      <c r="E116" s="6"/>
      <c r="F116" s="6"/>
      <c r="G116" s="6"/>
      <c r="H116" s="6"/>
      <c r="I116" s="11" t="str">
        <f t="shared" si="2"/>
        <v/>
      </c>
      <c r="J116" s="11" t="str">
        <f t="shared" si="3"/>
        <v/>
      </c>
    </row>
    <row r="117" spans="1:10" x14ac:dyDescent="0.35">
      <c r="A117" s="6"/>
      <c r="B117" s="9"/>
      <c r="C117" s="6"/>
      <c r="D117" s="6"/>
      <c r="E117" s="6"/>
      <c r="F117" s="6"/>
      <c r="G117" s="6"/>
      <c r="H117" s="6"/>
      <c r="I117" s="11" t="str">
        <f t="shared" si="2"/>
        <v/>
      </c>
      <c r="J117" s="11" t="str">
        <f t="shared" si="3"/>
        <v/>
      </c>
    </row>
    <row r="118" spans="1:10" x14ac:dyDescent="0.35">
      <c r="A118" s="6"/>
      <c r="B118" s="9"/>
      <c r="C118" s="6"/>
      <c r="D118" s="6"/>
      <c r="E118" s="6"/>
      <c r="F118" s="6"/>
      <c r="G118" s="6"/>
      <c r="H118" s="6"/>
      <c r="I118" s="11" t="str">
        <f t="shared" si="2"/>
        <v/>
      </c>
      <c r="J118" s="11" t="str">
        <f t="shared" si="3"/>
        <v/>
      </c>
    </row>
    <row r="119" spans="1:10" x14ac:dyDescent="0.35">
      <c r="A119" s="6"/>
      <c r="B119" s="9"/>
      <c r="C119" s="6"/>
      <c r="D119" s="6"/>
      <c r="E119" s="6"/>
      <c r="F119" s="6"/>
      <c r="G119" s="6"/>
      <c r="H119" s="6"/>
      <c r="I119" s="11" t="str">
        <f t="shared" si="2"/>
        <v/>
      </c>
      <c r="J119" s="11" t="str">
        <f t="shared" si="3"/>
        <v/>
      </c>
    </row>
    <row r="120" spans="1:10" x14ac:dyDescent="0.35">
      <c r="A120" s="6"/>
      <c r="B120" s="9"/>
      <c r="C120" s="6"/>
      <c r="D120" s="6"/>
      <c r="E120" s="6"/>
      <c r="F120" s="6"/>
      <c r="G120" s="6"/>
      <c r="H120" s="6"/>
      <c r="I120" s="11" t="str">
        <f t="shared" si="2"/>
        <v/>
      </c>
      <c r="J120" s="11" t="str">
        <f t="shared" si="3"/>
        <v/>
      </c>
    </row>
    <row r="121" spans="1:10" x14ac:dyDescent="0.35">
      <c r="A121" s="6"/>
      <c r="B121" s="9"/>
      <c r="C121" s="6"/>
      <c r="D121" s="6"/>
      <c r="E121" s="6"/>
      <c r="F121" s="6"/>
      <c r="G121" s="6"/>
      <c r="H121" s="6"/>
      <c r="I121" s="11" t="str">
        <f t="shared" si="2"/>
        <v/>
      </c>
      <c r="J121" s="11" t="str">
        <f t="shared" si="3"/>
        <v/>
      </c>
    </row>
    <row r="122" spans="1:10" x14ac:dyDescent="0.35">
      <c r="A122" s="6"/>
      <c r="B122" s="9"/>
      <c r="C122" s="6"/>
      <c r="D122" s="6"/>
      <c r="E122" s="6"/>
      <c r="F122" s="6"/>
      <c r="G122" s="6"/>
      <c r="H122" s="6"/>
      <c r="I122" s="11" t="str">
        <f t="shared" si="2"/>
        <v/>
      </c>
      <c r="J122" s="11" t="str">
        <f t="shared" si="3"/>
        <v/>
      </c>
    </row>
    <row r="123" spans="1:10" x14ac:dyDescent="0.35">
      <c r="A123" s="6"/>
      <c r="B123" s="9"/>
      <c r="C123" s="6"/>
      <c r="D123" s="6"/>
      <c r="E123" s="6"/>
      <c r="F123" s="6"/>
      <c r="G123" s="6"/>
      <c r="H123" s="6"/>
      <c r="I123" s="11" t="str">
        <f t="shared" si="2"/>
        <v/>
      </c>
      <c r="J123" s="11" t="str">
        <f t="shared" si="3"/>
        <v/>
      </c>
    </row>
    <row r="124" spans="1:10" x14ac:dyDescent="0.35">
      <c r="A124" s="6"/>
      <c r="B124" s="9"/>
      <c r="C124" s="6"/>
      <c r="D124" s="6"/>
      <c r="E124" s="6"/>
      <c r="F124" s="6"/>
      <c r="G124" s="6"/>
      <c r="H124" s="6"/>
      <c r="I124" s="11" t="str">
        <f t="shared" si="2"/>
        <v/>
      </c>
      <c r="J124" s="11" t="str">
        <f t="shared" si="3"/>
        <v/>
      </c>
    </row>
    <row r="125" spans="1:10" x14ac:dyDescent="0.35">
      <c r="A125" s="6"/>
      <c r="B125" s="9"/>
      <c r="C125" s="6"/>
      <c r="D125" s="6"/>
      <c r="E125" s="6"/>
      <c r="F125" s="6"/>
      <c r="G125" s="6"/>
      <c r="H125" s="6"/>
      <c r="I125" s="11" t="str">
        <f t="shared" si="2"/>
        <v/>
      </c>
      <c r="J125" s="11" t="str">
        <f t="shared" si="3"/>
        <v/>
      </c>
    </row>
    <row r="126" spans="1:10" x14ac:dyDescent="0.35">
      <c r="A126" s="6"/>
      <c r="B126" s="9"/>
      <c r="C126" s="6"/>
      <c r="D126" s="6"/>
      <c r="E126" s="6"/>
      <c r="F126" s="6"/>
      <c r="G126" s="6"/>
      <c r="H126" s="6"/>
      <c r="I126" s="11" t="str">
        <f t="shared" si="2"/>
        <v/>
      </c>
      <c r="J126" s="11" t="str">
        <f t="shared" si="3"/>
        <v/>
      </c>
    </row>
    <row r="127" spans="1:10" x14ac:dyDescent="0.35">
      <c r="A127" s="6"/>
      <c r="B127" s="9"/>
      <c r="C127" s="6"/>
      <c r="D127" s="6"/>
      <c r="E127" s="6"/>
      <c r="F127" s="6"/>
      <c r="G127" s="6"/>
      <c r="H127" s="6"/>
      <c r="I127" s="11" t="str">
        <f t="shared" si="2"/>
        <v/>
      </c>
      <c r="J127" s="11" t="str">
        <f t="shared" si="3"/>
        <v/>
      </c>
    </row>
    <row r="128" spans="1:10" x14ac:dyDescent="0.35">
      <c r="A128" s="6"/>
      <c r="B128" s="9"/>
      <c r="C128" s="6"/>
      <c r="D128" s="6"/>
      <c r="E128" s="6"/>
      <c r="F128" s="6"/>
      <c r="G128" s="6"/>
      <c r="H128" s="6"/>
      <c r="I128" s="11" t="str">
        <f t="shared" si="2"/>
        <v/>
      </c>
      <c r="J128" s="11" t="str">
        <f t="shared" si="3"/>
        <v/>
      </c>
    </row>
    <row r="129" spans="1:10" x14ac:dyDescent="0.35">
      <c r="A129" s="6"/>
      <c r="B129" s="9"/>
      <c r="C129" s="6"/>
      <c r="D129" s="6"/>
      <c r="E129" s="6"/>
      <c r="F129" s="6"/>
      <c r="G129" s="6"/>
      <c r="H129" s="6"/>
      <c r="I129" s="11" t="str">
        <f t="shared" si="2"/>
        <v/>
      </c>
      <c r="J129" s="11" t="str">
        <f t="shared" si="3"/>
        <v/>
      </c>
    </row>
    <row r="130" spans="1:10" x14ac:dyDescent="0.35">
      <c r="A130" s="6"/>
      <c r="B130" s="9"/>
      <c r="C130" s="6"/>
      <c r="D130" s="6"/>
      <c r="E130" s="6"/>
      <c r="F130" s="6"/>
      <c r="G130" s="6"/>
      <c r="H130" s="6"/>
      <c r="I130" s="11" t="str">
        <f t="shared" si="2"/>
        <v/>
      </c>
      <c r="J130" s="11" t="str">
        <f t="shared" si="3"/>
        <v/>
      </c>
    </row>
    <row r="131" spans="1:10" x14ac:dyDescent="0.35">
      <c r="A131" s="6"/>
      <c r="B131" s="9"/>
      <c r="C131" s="6"/>
      <c r="D131" s="6"/>
      <c r="E131" s="6"/>
      <c r="F131" s="6"/>
      <c r="G131" s="6"/>
      <c r="H131" s="6"/>
      <c r="I131" s="11" t="str">
        <f t="shared" si="2"/>
        <v/>
      </c>
      <c r="J131" s="11" t="str">
        <f t="shared" si="3"/>
        <v/>
      </c>
    </row>
    <row r="132" spans="1:10" x14ac:dyDescent="0.35">
      <c r="A132" s="6"/>
      <c r="B132" s="9"/>
      <c r="C132" s="6"/>
      <c r="D132" s="6"/>
      <c r="E132" s="6"/>
      <c r="F132" s="6"/>
      <c r="G132" s="6"/>
      <c r="H132" s="6"/>
      <c r="I132" s="11" t="str">
        <f t="shared" ref="I132:I195" si="4">IF(A132="","",IF(OR(B132="",C132="",D132="",E132="",F132="",G132=""),"MISSING FIELD","ENTERED"))</f>
        <v/>
      </c>
      <c r="J132" s="11" t="str">
        <f t="shared" ref="J132:J195" si="5">IF(A132="","",IF(OR(F132="",NOT(ISNUMBER(F132))),"CHECK HOURS",IF(F132&gt;16,"REVIEW","OK")))</f>
        <v/>
      </c>
    </row>
    <row r="133" spans="1:10" x14ac:dyDescent="0.35">
      <c r="A133" s="6"/>
      <c r="B133" s="9"/>
      <c r="C133" s="6"/>
      <c r="D133" s="6"/>
      <c r="E133" s="6"/>
      <c r="F133" s="6"/>
      <c r="G133" s="6"/>
      <c r="H133" s="6"/>
      <c r="I133" s="11" t="str">
        <f t="shared" si="4"/>
        <v/>
      </c>
      <c r="J133" s="11" t="str">
        <f t="shared" si="5"/>
        <v/>
      </c>
    </row>
    <row r="134" spans="1:10" x14ac:dyDescent="0.35">
      <c r="A134" s="6"/>
      <c r="B134" s="9"/>
      <c r="C134" s="6"/>
      <c r="D134" s="6"/>
      <c r="E134" s="6"/>
      <c r="F134" s="6"/>
      <c r="G134" s="6"/>
      <c r="H134" s="6"/>
      <c r="I134" s="11" t="str">
        <f t="shared" si="4"/>
        <v/>
      </c>
      <c r="J134" s="11" t="str">
        <f t="shared" si="5"/>
        <v/>
      </c>
    </row>
    <row r="135" spans="1:10" x14ac:dyDescent="0.35">
      <c r="A135" s="6"/>
      <c r="B135" s="9"/>
      <c r="C135" s="6"/>
      <c r="D135" s="6"/>
      <c r="E135" s="6"/>
      <c r="F135" s="6"/>
      <c r="G135" s="6"/>
      <c r="H135" s="6"/>
      <c r="I135" s="11" t="str">
        <f t="shared" si="4"/>
        <v/>
      </c>
      <c r="J135" s="11" t="str">
        <f t="shared" si="5"/>
        <v/>
      </c>
    </row>
    <row r="136" spans="1:10" x14ac:dyDescent="0.35">
      <c r="A136" s="6"/>
      <c r="B136" s="9"/>
      <c r="C136" s="6"/>
      <c r="D136" s="6"/>
      <c r="E136" s="6"/>
      <c r="F136" s="6"/>
      <c r="G136" s="6"/>
      <c r="H136" s="6"/>
      <c r="I136" s="11" t="str">
        <f t="shared" si="4"/>
        <v/>
      </c>
      <c r="J136" s="11" t="str">
        <f t="shared" si="5"/>
        <v/>
      </c>
    </row>
    <row r="137" spans="1:10" x14ac:dyDescent="0.35">
      <c r="A137" s="6"/>
      <c r="B137" s="9"/>
      <c r="C137" s="6"/>
      <c r="D137" s="6"/>
      <c r="E137" s="6"/>
      <c r="F137" s="6"/>
      <c r="G137" s="6"/>
      <c r="H137" s="6"/>
      <c r="I137" s="11" t="str">
        <f t="shared" si="4"/>
        <v/>
      </c>
      <c r="J137" s="11" t="str">
        <f t="shared" si="5"/>
        <v/>
      </c>
    </row>
    <row r="138" spans="1:10" x14ac:dyDescent="0.35">
      <c r="A138" s="6"/>
      <c r="B138" s="9"/>
      <c r="C138" s="6"/>
      <c r="D138" s="6"/>
      <c r="E138" s="6"/>
      <c r="F138" s="6"/>
      <c r="G138" s="6"/>
      <c r="H138" s="6"/>
      <c r="I138" s="11" t="str">
        <f t="shared" si="4"/>
        <v/>
      </c>
      <c r="J138" s="11" t="str">
        <f t="shared" si="5"/>
        <v/>
      </c>
    </row>
    <row r="139" spans="1:10" x14ac:dyDescent="0.35">
      <c r="A139" s="6"/>
      <c r="B139" s="9"/>
      <c r="C139" s="6"/>
      <c r="D139" s="6"/>
      <c r="E139" s="6"/>
      <c r="F139" s="6"/>
      <c r="G139" s="6"/>
      <c r="H139" s="6"/>
      <c r="I139" s="11" t="str">
        <f t="shared" si="4"/>
        <v/>
      </c>
      <c r="J139" s="11" t="str">
        <f t="shared" si="5"/>
        <v/>
      </c>
    </row>
    <row r="140" spans="1:10" x14ac:dyDescent="0.35">
      <c r="A140" s="6"/>
      <c r="B140" s="9"/>
      <c r="C140" s="6"/>
      <c r="D140" s="6"/>
      <c r="E140" s="6"/>
      <c r="F140" s="6"/>
      <c r="G140" s="6"/>
      <c r="H140" s="6"/>
      <c r="I140" s="11" t="str">
        <f t="shared" si="4"/>
        <v/>
      </c>
      <c r="J140" s="11" t="str">
        <f t="shared" si="5"/>
        <v/>
      </c>
    </row>
    <row r="141" spans="1:10" x14ac:dyDescent="0.35">
      <c r="A141" s="6"/>
      <c r="B141" s="9"/>
      <c r="C141" s="6"/>
      <c r="D141" s="6"/>
      <c r="E141" s="6"/>
      <c r="F141" s="6"/>
      <c r="G141" s="6"/>
      <c r="H141" s="6"/>
      <c r="I141" s="11" t="str">
        <f t="shared" si="4"/>
        <v/>
      </c>
      <c r="J141" s="11" t="str">
        <f t="shared" si="5"/>
        <v/>
      </c>
    </row>
    <row r="142" spans="1:10" x14ac:dyDescent="0.35">
      <c r="A142" s="6"/>
      <c r="B142" s="9"/>
      <c r="C142" s="6"/>
      <c r="D142" s="6"/>
      <c r="E142" s="6"/>
      <c r="F142" s="6"/>
      <c r="G142" s="6"/>
      <c r="H142" s="6"/>
      <c r="I142" s="11" t="str">
        <f t="shared" si="4"/>
        <v/>
      </c>
      <c r="J142" s="11" t="str">
        <f t="shared" si="5"/>
        <v/>
      </c>
    </row>
    <row r="143" spans="1:10" x14ac:dyDescent="0.35">
      <c r="A143" s="6"/>
      <c r="B143" s="9"/>
      <c r="C143" s="6"/>
      <c r="D143" s="6"/>
      <c r="E143" s="6"/>
      <c r="F143" s="6"/>
      <c r="G143" s="6"/>
      <c r="H143" s="6"/>
      <c r="I143" s="11" t="str">
        <f t="shared" si="4"/>
        <v/>
      </c>
      <c r="J143" s="11" t="str">
        <f t="shared" si="5"/>
        <v/>
      </c>
    </row>
    <row r="144" spans="1:10" x14ac:dyDescent="0.35">
      <c r="A144" s="6"/>
      <c r="B144" s="9"/>
      <c r="C144" s="6"/>
      <c r="D144" s="6"/>
      <c r="E144" s="6"/>
      <c r="F144" s="6"/>
      <c r="G144" s="6"/>
      <c r="H144" s="6"/>
      <c r="I144" s="11" t="str">
        <f t="shared" si="4"/>
        <v/>
      </c>
      <c r="J144" s="11" t="str">
        <f t="shared" si="5"/>
        <v/>
      </c>
    </row>
    <row r="145" spans="1:10" x14ac:dyDescent="0.35">
      <c r="A145" s="6"/>
      <c r="B145" s="9"/>
      <c r="C145" s="6"/>
      <c r="D145" s="6"/>
      <c r="E145" s="6"/>
      <c r="F145" s="6"/>
      <c r="G145" s="6"/>
      <c r="H145" s="6"/>
      <c r="I145" s="11" t="str">
        <f t="shared" si="4"/>
        <v/>
      </c>
      <c r="J145" s="11" t="str">
        <f t="shared" si="5"/>
        <v/>
      </c>
    </row>
    <row r="146" spans="1:10" x14ac:dyDescent="0.35">
      <c r="A146" s="6"/>
      <c r="B146" s="9"/>
      <c r="C146" s="6"/>
      <c r="D146" s="6"/>
      <c r="E146" s="6"/>
      <c r="F146" s="6"/>
      <c r="G146" s="6"/>
      <c r="H146" s="6"/>
      <c r="I146" s="11" t="str">
        <f t="shared" si="4"/>
        <v/>
      </c>
      <c r="J146" s="11" t="str">
        <f t="shared" si="5"/>
        <v/>
      </c>
    </row>
    <row r="147" spans="1:10" x14ac:dyDescent="0.35">
      <c r="A147" s="6"/>
      <c r="B147" s="9"/>
      <c r="C147" s="6"/>
      <c r="D147" s="6"/>
      <c r="E147" s="6"/>
      <c r="F147" s="6"/>
      <c r="G147" s="6"/>
      <c r="H147" s="6"/>
      <c r="I147" s="11" t="str">
        <f t="shared" si="4"/>
        <v/>
      </c>
      <c r="J147" s="11" t="str">
        <f t="shared" si="5"/>
        <v/>
      </c>
    </row>
    <row r="148" spans="1:10" x14ac:dyDescent="0.35">
      <c r="A148" s="6"/>
      <c r="B148" s="9"/>
      <c r="C148" s="6"/>
      <c r="D148" s="6"/>
      <c r="E148" s="6"/>
      <c r="F148" s="6"/>
      <c r="G148" s="6"/>
      <c r="H148" s="6"/>
      <c r="I148" s="11" t="str">
        <f t="shared" si="4"/>
        <v/>
      </c>
      <c r="J148" s="11" t="str">
        <f t="shared" si="5"/>
        <v/>
      </c>
    </row>
    <row r="149" spans="1:10" x14ac:dyDescent="0.35">
      <c r="A149" s="6"/>
      <c r="B149" s="9"/>
      <c r="C149" s="6"/>
      <c r="D149" s="6"/>
      <c r="E149" s="6"/>
      <c r="F149" s="6"/>
      <c r="G149" s="6"/>
      <c r="H149" s="6"/>
      <c r="I149" s="11" t="str">
        <f t="shared" si="4"/>
        <v/>
      </c>
      <c r="J149" s="11" t="str">
        <f t="shared" si="5"/>
        <v/>
      </c>
    </row>
    <row r="150" spans="1:10" x14ac:dyDescent="0.35">
      <c r="A150" s="6"/>
      <c r="B150" s="9"/>
      <c r="C150" s="6"/>
      <c r="D150" s="6"/>
      <c r="E150" s="6"/>
      <c r="F150" s="6"/>
      <c r="G150" s="6"/>
      <c r="H150" s="6"/>
      <c r="I150" s="11" t="str">
        <f t="shared" si="4"/>
        <v/>
      </c>
      <c r="J150" s="11" t="str">
        <f t="shared" si="5"/>
        <v/>
      </c>
    </row>
    <row r="151" spans="1:10" x14ac:dyDescent="0.35">
      <c r="A151" s="6"/>
      <c r="B151" s="9"/>
      <c r="C151" s="6"/>
      <c r="D151" s="6"/>
      <c r="E151" s="6"/>
      <c r="F151" s="6"/>
      <c r="G151" s="6"/>
      <c r="H151" s="6"/>
      <c r="I151" s="11" t="str">
        <f t="shared" si="4"/>
        <v/>
      </c>
      <c r="J151" s="11" t="str">
        <f t="shared" si="5"/>
        <v/>
      </c>
    </row>
    <row r="152" spans="1:10" x14ac:dyDescent="0.35">
      <c r="A152" s="6"/>
      <c r="B152" s="9"/>
      <c r="C152" s="6"/>
      <c r="D152" s="6"/>
      <c r="E152" s="6"/>
      <c r="F152" s="6"/>
      <c r="G152" s="6"/>
      <c r="H152" s="6"/>
      <c r="I152" s="11" t="str">
        <f t="shared" si="4"/>
        <v/>
      </c>
      <c r="J152" s="11" t="str">
        <f t="shared" si="5"/>
        <v/>
      </c>
    </row>
    <row r="153" spans="1:10" x14ac:dyDescent="0.35">
      <c r="A153" s="6"/>
      <c r="B153" s="9"/>
      <c r="C153" s="6"/>
      <c r="D153" s="6"/>
      <c r="E153" s="6"/>
      <c r="F153" s="6"/>
      <c r="G153" s="6"/>
      <c r="H153" s="6"/>
      <c r="I153" s="11" t="str">
        <f t="shared" si="4"/>
        <v/>
      </c>
      <c r="J153" s="11" t="str">
        <f t="shared" si="5"/>
        <v/>
      </c>
    </row>
    <row r="154" spans="1:10" x14ac:dyDescent="0.35">
      <c r="A154" s="6"/>
      <c r="B154" s="9"/>
      <c r="C154" s="6"/>
      <c r="D154" s="6"/>
      <c r="E154" s="6"/>
      <c r="F154" s="6"/>
      <c r="G154" s="6"/>
      <c r="H154" s="6"/>
      <c r="I154" s="11" t="str">
        <f t="shared" si="4"/>
        <v/>
      </c>
      <c r="J154" s="11" t="str">
        <f t="shared" si="5"/>
        <v/>
      </c>
    </row>
    <row r="155" spans="1:10" x14ac:dyDescent="0.35">
      <c r="A155" s="6"/>
      <c r="B155" s="9"/>
      <c r="C155" s="6"/>
      <c r="D155" s="6"/>
      <c r="E155" s="6"/>
      <c r="F155" s="6"/>
      <c r="G155" s="6"/>
      <c r="H155" s="6"/>
      <c r="I155" s="11" t="str">
        <f t="shared" si="4"/>
        <v/>
      </c>
      <c r="J155" s="11" t="str">
        <f t="shared" si="5"/>
        <v/>
      </c>
    </row>
    <row r="156" spans="1:10" x14ac:dyDescent="0.35">
      <c r="A156" s="6"/>
      <c r="B156" s="9"/>
      <c r="C156" s="6"/>
      <c r="D156" s="6"/>
      <c r="E156" s="6"/>
      <c r="F156" s="6"/>
      <c r="G156" s="6"/>
      <c r="H156" s="6"/>
      <c r="I156" s="11" t="str">
        <f t="shared" si="4"/>
        <v/>
      </c>
      <c r="J156" s="11" t="str">
        <f t="shared" si="5"/>
        <v/>
      </c>
    </row>
    <row r="157" spans="1:10" x14ac:dyDescent="0.35">
      <c r="A157" s="6"/>
      <c r="B157" s="9"/>
      <c r="C157" s="6"/>
      <c r="D157" s="6"/>
      <c r="E157" s="6"/>
      <c r="F157" s="6"/>
      <c r="G157" s="6"/>
      <c r="H157" s="6"/>
      <c r="I157" s="11" t="str">
        <f t="shared" si="4"/>
        <v/>
      </c>
      <c r="J157" s="11" t="str">
        <f t="shared" si="5"/>
        <v/>
      </c>
    </row>
    <row r="158" spans="1:10" x14ac:dyDescent="0.35">
      <c r="A158" s="6"/>
      <c r="B158" s="9"/>
      <c r="C158" s="6"/>
      <c r="D158" s="6"/>
      <c r="E158" s="6"/>
      <c r="F158" s="6"/>
      <c r="G158" s="6"/>
      <c r="H158" s="6"/>
      <c r="I158" s="11" t="str">
        <f t="shared" si="4"/>
        <v/>
      </c>
      <c r="J158" s="11" t="str">
        <f t="shared" si="5"/>
        <v/>
      </c>
    </row>
    <row r="159" spans="1:10" x14ac:dyDescent="0.35">
      <c r="A159" s="6"/>
      <c r="B159" s="9"/>
      <c r="C159" s="6"/>
      <c r="D159" s="6"/>
      <c r="E159" s="6"/>
      <c r="F159" s="6"/>
      <c r="G159" s="6"/>
      <c r="H159" s="6"/>
      <c r="I159" s="11" t="str">
        <f t="shared" si="4"/>
        <v/>
      </c>
      <c r="J159" s="11" t="str">
        <f t="shared" si="5"/>
        <v/>
      </c>
    </row>
    <row r="160" spans="1:10" x14ac:dyDescent="0.35">
      <c r="A160" s="6"/>
      <c r="B160" s="9"/>
      <c r="C160" s="6"/>
      <c r="D160" s="6"/>
      <c r="E160" s="6"/>
      <c r="F160" s="6"/>
      <c r="G160" s="6"/>
      <c r="H160" s="6"/>
      <c r="I160" s="11" t="str">
        <f t="shared" si="4"/>
        <v/>
      </c>
      <c r="J160" s="11" t="str">
        <f t="shared" si="5"/>
        <v/>
      </c>
    </row>
    <row r="161" spans="1:10" x14ac:dyDescent="0.35">
      <c r="A161" s="6"/>
      <c r="B161" s="9"/>
      <c r="C161" s="6"/>
      <c r="D161" s="6"/>
      <c r="E161" s="6"/>
      <c r="F161" s="6"/>
      <c r="G161" s="6"/>
      <c r="H161" s="6"/>
      <c r="I161" s="11" t="str">
        <f t="shared" si="4"/>
        <v/>
      </c>
      <c r="J161" s="11" t="str">
        <f t="shared" si="5"/>
        <v/>
      </c>
    </row>
    <row r="162" spans="1:10" x14ac:dyDescent="0.35">
      <c r="A162" s="6"/>
      <c r="B162" s="9"/>
      <c r="C162" s="6"/>
      <c r="D162" s="6"/>
      <c r="E162" s="6"/>
      <c r="F162" s="6"/>
      <c r="G162" s="6"/>
      <c r="H162" s="6"/>
      <c r="I162" s="11" t="str">
        <f t="shared" si="4"/>
        <v/>
      </c>
      <c r="J162" s="11" t="str">
        <f t="shared" si="5"/>
        <v/>
      </c>
    </row>
    <row r="163" spans="1:10" x14ac:dyDescent="0.35">
      <c r="A163" s="6"/>
      <c r="B163" s="9"/>
      <c r="C163" s="6"/>
      <c r="D163" s="6"/>
      <c r="E163" s="6"/>
      <c r="F163" s="6"/>
      <c r="G163" s="6"/>
      <c r="H163" s="6"/>
      <c r="I163" s="11" t="str">
        <f t="shared" si="4"/>
        <v/>
      </c>
      <c r="J163" s="11" t="str">
        <f t="shared" si="5"/>
        <v/>
      </c>
    </row>
    <row r="164" spans="1:10" x14ac:dyDescent="0.35">
      <c r="A164" s="6"/>
      <c r="B164" s="9"/>
      <c r="C164" s="6"/>
      <c r="D164" s="6"/>
      <c r="E164" s="6"/>
      <c r="F164" s="6"/>
      <c r="G164" s="6"/>
      <c r="H164" s="6"/>
      <c r="I164" s="11" t="str">
        <f t="shared" si="4"/>
        <v/>
      </c>
      <c r="J164" s="11" t="str">
        <f t="shared" si="5"/>
        <v/>
      </c>
    </row>
    <row r="165" spans="1:10" x14ac:dyDescent="0.35">
      <c r="A165" s="6"/>
      <c r="B165" s="9"/>
      <c r="C165" s="6"/>
      <c r="D165" s="6"/>
      <c r="E165" s="6"/>
      <c r="F165" s="6"/>
      <c r="G165" s="6"/>
      <c r="H165" s="6"/>
      <c r="I165" s="11" t="str">
        <f t="shared" si="4"/>
        <v/>
      </c>
      <c r="J165" s="11" t="str">
        <f t="shared" si="5"/>
        <v/>
      </c>
    </row>
    <row r="166" spans="1:10" x14ac:dyDescent="0.35">
      <c r="A166" s="6"/>
      <c r="B166" s="9"/>
      <c r="C166" s="6"/>
      <c r="D166" s="6"/>
      <c r="E166" s="6"/>
      <c r="F166" s="6"/>
      <c r="G166" s="6"/>
      <c r="H166" s="6"/>
      <c r="I166" s="11" t="str">
        <f t="shared" si="4"/>
        <v/>
      </c>
      <c r="J166" s="11" t="str">
        <f t="shared" si="5"/>
        <v/>
      </c>
    </row>
    <row r="167" spans="1:10" x14ac:dyDescent="0.35">
      <c r="A167" s="6"/>
      <c r="B167" s="9"/>
      <c r="C167" s="6"/>
      <c r="D167" s="6"/>
      <c r="E167" s="6"/>
      <c r="F167" s="6"/>
      <c r="G167" s="6"/>
      <c r="H167" s="6"/>
      <c r="I167" s="11" t="str">
        <f t="shared" si="4"/>
        <v/>
      </c>
      <c r="J167" s="11" t="str">
        <f t="shared" si="5"/>
        <v/>
      </c>
    </row>
    <row r="168" spans="1:10" x14ac:dyDescent="0.35">
      <c r="A168" s="6"/>
      <c r="B168" s="9"/>
      <c r="C168" s="6"/>
      <c r="D168" s="6"/>
      <c r="E168" s="6"/>
      <c r="F168" s="6"/>
      <c r="G168" s="6"/>
      <c r="H168" s="6"/>
      <c r="I168" s="11" t="str">
        <f t="shared" si="4"/>
        <v/>
      </c>
      <c r="J168" s="11" t="str">
        <f t="shared" si="5"/>
        <v/>
      </c>
    </row>
    <row r="169" spans="1:10" x14ac:dyDescent="0.35">
      <c r="A169" s="6"/>
      <c r="B169" s="9"/>
      <c r="C169" s="6"/>
      <c r="D169" s="6"/>
      <c r="E169" s="6"/>
      <c r="F169" s="6"/>
      <c r="G169" s="6"/>
      <c r="H169" s="6"/>
      <c r="I169" s="11" t="str">
        <f t="shared" si="4"/>
        <v/>
      </c>
      <c r="J169" s="11" t="str">
        <f t="shared" si="5"/>
        <v/>
      </c>
    </row>
    <row r="170" spans="1:10" x14ac:dyDescent="0.35">
      <c r="A170" s="6"/>
      <c r="B170" s="9"/>
      <c r="C170" s="6"/>
      <c r="D170" s="6"/>
      <c r="E170" s="6"/>
      <c r="F170" s="6"/>
      <c r="G170" s="6"/>
      <c r="H170" s="6"/>
      <c r="I170" s="11" t="str">
        <f t="shared" si="4"/>
        <v/>
      </c>
      <c r="J170" s="11" t="str">
        <f t="shared" si="5"/>
        <v/>
      </c>
    </row>
    <row r="171" spans="1:10" x14ac:dyDescent="0.35">
      <c r="A171" s="6"/>
      <c r="B171" s="9"/>
      <c r="C171" s="6"/>
      <c r="D171" s="6"/>
      <c r="E171" s="6"/>
      <c r="F171" s="6"/>
      <c r="G171" s="6"/>
      <c r="H171" s="6"/>
      <c r="I171" s="11" t="str">
        <f t="shared" si="4"/>
        <v/>
      </c>
      <c r="J171" s="11" t="str">
        <f t="shared" si="5"/>
        <v/>
      </c>
    </row>
    <row r="172" spans="1:10" x14ac:dyDescent="0.35">
      <c r="A172" s="6"/>
      <c r="B172" s="9"/>
      <c r="C172" s="6"/>
      <c r="D172" s="6"/>
      <c r="E172" s="6"/>
      <c r="F172" s="6"/>
      <c r="G172" s="6"/>
      <c r="H172" s="6"/>
      <c r="I172" s="11" t="str">
        <f t="shared" si="4"/>
        <v/>
      </c>
      <c r="J172" s="11" t="str">
        <f t="shared" si="5"/>
        <v/>
      </c>
    </row>
    <row r="173" spans="1:10" x14ac:dyDescent="0.35">
      <c r="A173" s="6"/>
      <c r="B173" s="9"/>
      <c r="C173" s="6"/>
      <c r="D173" s="6"/>
      <c r="E173" s="6"/>
      <c r="F173" s="6"/>
      <c r="G173" s="6"/>
      <c r="H173" s="6"/>
      <c r="I173" s="11" t="str">
        <f t="shared" si="4"/>
        <v/>
      </c>
      <c r="J173" s="11" t="str">
        <f t="shared" si="5"/>
        <v/>
      </c>
    </row>
    <row r="174" spans="1:10" x14ac:dyDescent="0.35">
      <c r="A174" s="6"/>
      <c r="B174" s="9"/>
      <c r="C174" s="6"/>
      <c r="D174" s="6"/>
      <c r="E174" s="6"/>
      <c r="F174" s="6"/>
      <c r="G174" s="6"/>
      <c r="H174" s="6"/>
      <c r="I174" s="11" t="str">
        <f t="shared" si="4"/>
        <v/>
      </c>
      <c r="J174" s="11" t="str">
        <f t="shared" si="5"/>
        <v/>
      </c>
    </row>
    <row r="175" spans="1:10" x14ac:dyDescent="0.35">
      <c r="A175" s="6"/>
      <c r="B175" s="9"/>
      <c r="C175" s="6"/>
      <c r="D175" s="6"/>
      <c r="E175" s="6"/>
      <c r="F175" s="6"/>
      <c r="G175" s="6"/>
      <c r="H175" s="6"/>
      <c r="I175" s="11" t="str">
        <f t="shared" si="4"/>
        <v/>
      </c>
      <c r="J175" s="11" t="str">
        <f t="shared" si="5"/>
        <v/>
      </c>
    </row>
    <row r="176" spans="1:10" x14ac:dyDescent="0.35">
      <c r="A176" s="6"/>
      <c r="B176" s="9"/>
      <c r="C176" s="6"/>
      <c r="D176" s="6"/>
      <c r="E176" s="6"/>
      <c r="F176" s="6"/>
      <c r="G176" s="6"/>
      <c r="H176" s="6"/>
      <c r="I176" s="11" t="str">
        <f t="shared" si="4"/>
        <v/>
      </c>
      <c r="J176" s="11" t="str">
        <f t="shared" si="5"/>
        <v/>
      </c>
    </row>
    <row r="177" spans="1:10" x14ac:dyDescent="0.35">
      <c r="A177" s="6"/>
      <c r="B177" s="9"/>
      <c r="C177" s="6"/>
      <c r="D177" s="6"/>
      <c r="E177" s="6"/>
      <c r="F177" s="6"/>
      <c r="G177" s="6"/>
      <c r="H177" s="6"/>
      <c r="I177" s="11" t="str">
        <f t="shared" si="4"/>
        <v/>
      </c>
      <c r="J177" s="11" t="str">
        <f t="shared" si="5"/>
        <v/>
      </c>
    </row>
    <row r="178" spans="1:10" x14ac:dyDescent="0.35">
      <c r="A178" s="6"/>
      <c r="B178" s="9"/>
      <c r="C178" s="6"/>
      <c r="D178" s="6"/>
      <c r="E178" s="6"/>
      <c r="F178" s="6"/>
      <c r="G178" s="6"/>
      <c r="H178" s="6"/>
      <c r="I178" s="11" t="str">
        <f t="shared" si="4"/>
        <v/>
      </c>
      <c r="J178" s="11" t="str">
        <f t="shared" si="5"/>
        <v/>
      </c>
    </row>
    <row r="179" spans="1:10" x14ac:dyDescent="0.35">
      <c r="A179" s="6"/>
      <c r="B179" s="9"/>
      <c r="C179" s="6"/>
      <c r="D179" s="6"/>
      <c r="E179" s="6"/>
      <c r="F179" s="6"/>
      <c r="G179" s="6"/>
      <c r="H179" s="6"/>
      <c r="I179" s="11" t="str">
        <f t="shared" si="4"/>
        <v/>
      </c>
      <c r="J179" s="11" t="str">
        <f t="shared" si="5"/>
        <v/>
      </c>
    </row>
    <row r="180" spans="1:10" x14ac:dyDescent="0.35">
      <c r="A180" s="6"/>
      <c r="B180" s="9"/>
      <c r="C180" s="6"/>
      <c r="D180" s="6"/>
      <c r="E180" s="6"/>
      <c r="F180" s="6"/>
      <c r="G180" s="6"/>
      <c r="H180" s="6"/>
      <c r="I180" s="11" t="str">
        <f t="shared" si="4"/>
        <v/>
      </c>
      <c r="J180" s="11" t="str">
        <f t="shared" si="5"/>
        <v/>
      </c>
    </row>
    <row r="181" spans="1:10" x14ac:dyDescent="0.35">
      <c r="A181" s="6"/>
      <c r="B181" s="9"/>
      <c r="C181" s="6"/>
      <c r="D181" s="6"/>
      <c r="E181" s="6"/>
      <c r="F181" s="6"/>
      <c r="G181" s="6"/>
      <c r="H181" s="6"/>
      <c r="I181" s="11" t="str">
        <f t="shared" si="4"/>
        <v/>
      </c>
      <c r="J181" s="11" t="str">
        <f t="shared" si="5"/>
        <v/>
      </c>
    </row>
    <row r="182" spans="1:10" x14ac:dyDescent="0.35">
      <c r="A182" s="6"/>
      <c r="B182" s="9"/>
      <c r="C182" s="6"/>
      <c r="D182" s="6"/>
      <c r="E182" s="6"/>
      <c r="F182" s="6"/>
      <c r="G182" s="6"/>
      <c r="H182" s="6"/>
      <c r="I182" s="11" t="str">
        <f t="shared" si="4"/>
        <v/>
      </c>
      <c r="J182" s="11" t="str">
        <f t="shared" si="5"/>
        <v/>
      </c>
    </row>
    <row r="183" spans="1:10" x14ac:dyDescent="0.35">
      <c r="A183" s="6"/>
      <c r="B183" s="9"/>
      <c r="C183" s="6"/>
      <c r="D183" s="6"/>
      <c r="E183" s="6"/>
      <c r="F183" s="6"/>
      <c r="G183" s="6"/>
      <c r="H183" s="6"/>
      <c r="I183" s="11" t="str">
        <f t="shared" si="4"/>
        <v/>
      </c>
      <c r="J183" s="11" t="str">
        <f t="shared" si="5"/>
        <v/>
      </c>
    </row>
    <row r="184" spans="1:10" x14ac:dyDescent="0.35">
      <c r="A184" s="6"/>
      <c r="B184" s="9"/>
      <c r="C184" s="6"/>
      <c r="D184" s="6"/>
      <c r="E184" s="6"/>
      <c r="F184" s="6"/>
      <c r="G184" s="6"/>
      <c r="H184" s="6"/>
      <c r="I184" s="11" t="str">
        <f t="shared" si="4"/>
        <v/>
      </c>
      <c r="J184" s="11" t="str">
        <f t="shared" si="5"/>
        <v/>
      </c>
    </row>
    <row r="185" spans="1:10" x14ac:dyDescent="0.35">
      <c r="A185" s="6"/>
      <c r="B185" s="9"/>
      <c r="C185" s="6"/>
      <c r="D185" s="6"/>
      <c r="E185" s="6"/>
      <c r="F185" s="6"/>
      <c r="G185" s="6"/>
      <c r="H185" s="6"/>
      <c r="I185" s="11" t="str">
        <f t="shared" si="4"/>
        <v/>
      </c>
      <c r="J185" s="11" t="str">
        <f t="shared" si="5"/>
        <v/>
      </c>
    </row>
    <row r="186" spans="1:10" x14ac:dyDescent="0.35">
      <c r="A186" s="6"/>
      <c r="B186" s="9"/>
      <c r="C186" s="6"/>
      <c r="D186" s="6"/>
      <c r="E186" s="6"/>
      <c r="F186" s="6"/>
      <c r="G186" s="6"/>
      <c r="H186" s="6"/>
      <c r="I186" s="11" t="str">
        <f t="shared" si="4"/>
        <v/>
      </c>
      <c r="J186" s="11" t="str">
        <f t="shared" si="5"/>
        <v/>
      </c>
    </row>
    <row r="187" spans="1:10" x14ac:dyDescent="0.35">
      <c r="A187" s="6"/>
      <c r="B187" s="9"/>
      <c r="C187" s="6"/>
      <c r="D187" s="6"/>
      <c r="E187" s="6"/>
      <c r="F187" s="6"/>
      <c r="G187" s="6"/>
      <c r="H187" s="6"/>
      <c r="I187" s="11" t="str">
        <f t="shared" si="4"/>
        <v/>
      </c>
      <c r="J187" s="11" t="str">
        <f t="shared" si="5"/>
        <v/>
      </c>
    </row>
    <row r="188" spans="1:10" x14ac:dyDescent="0.35">
      <c r="A188" s="6"/>
      <c r="B188" s="9"/>
      <c r="C188" s="6"/>
      <c r="D188" s="6"/>
      <c r="E188" s="6"/>
      <c r="F188" s="6"/>
      <c r="G188" s="6"/>
      <c r="H188" s="6"/>
      <c r="I188" s="11" t="str">
        <f t="shared" si="4"/>
        <v/>
      </c>
      <c r="J188" s="11" t="str">
        <f t="shared" si="5"/>
        <v/>
      </c>
    </row>
    <row r="189" spans="1:10" x14ac:dyDescent="0.35">
      <c r="A189" s="6"/>
      <c r="B189" s="9"/>
      <c r="C189" s="6"/>
      <c r="D189" s="6"/>
      <c r="E189" s="6"/>
      <c r="F189" s="6"/>
      <c r="G189" s="6"/>
      <c r="H189" s="6"/>
      <c r="I189" s="11" t="str">
        <f t="shared" si="4"/>
        <v/>
      </c>
      <c r="J189" s="11" t="str">
        <f t="shared" si="5"/>
        <v/>
      </c>
    </row>
    <row r="190" spans="1:10" x14ac:dyDescent="0.35">
      <c r="A190" s="6"/>
      <c r="B190" s="9"/>
      <c r="C190" s="6"/>
      <c r="D190" s="6"/>
      <c r="E190" s="6"/>
      <c r="F190" s="6"/>
      <c r="G190" s="6"/>
      <c r="H190" s="6"/>
      <c r="I190" s="11" t="str">
        <f t="shared" si="4"/>
        <v/>
      </c>
      <c r="J190" s="11" t="str">
        <f t="shared" si="5"/>
        <v/>
      </c>
    </row>
    <row r="191" spans="1:10" x14ac:dyDescent="0.35">
      <c r="A191" s="6"/>
      <c r="B191" s="9"/>
      <c r="C191" s="6"/>
      <c r="D191" s="6"/>
      <c r="E191" s="6"/>
      <c r="F191" s="6"/>
      <c r="G191" s="6"/>
      <c r="H191" s="6"/>
      <c r="I191" s="11" t="str">
        <f t="shared" si="4"/>
        <v/>
      </c>
      <c r="J191" s="11" t="str">
        <f t="shared" si="5"/>
        <v/>
      </c>
    </row>
    <row r="192" spans="1:10" x14ac:dyDescent="0.35">
      <c r="A192" s="6"/>
      <c r="B192" s="9"/>
      <c r="C192" s="6"/>
      <c r="D192" s="6"/>
      <c r="E192" s="6"/>
      <c r="F192" s="6"/>
      <c r="G192" s="6"/>
      <c r="H192" s="6"/>
      <c r="I192" s="11" t="str">
        <f t="shared" si="4"/>
        <v/>
      </c>
      <c r="J192" s="11" t="str">
        <f t="shared" si="5"/>
        <v/>
      </c>
    </row>
    <row r="193" spans="1:10" x14ac:dyDescent="0.35">
      <c r="A193" s="6"/>
      <c r="B193" s="9"/>
      <c r="C193" s="6"/>
      <c r="D193" s="6"/>
      <c r="E193" s="6"/>
      <c r="F193" s="6"/>
      <c r="G193" s="6"/>
      <c r="H193" s="6"/>
      <c r="I193" s="11" t="str">
        <f t="shared" si="4"/>
        <v/>
      </c>
      <c r="J193" s="11" t="str">
        <f t="shared" si="5"/>
        <v/>
      </c>
    </row>
    <row r="194" spans="1:10" x14ac:dyDescent="0.35">
      <c r="A194" s="6"/>
      <c r="B194" s="9"/>
      <c r="C194" s="6"/>
      <c r="D194" s="6"/>
      <c r="E194" s="6"/>
      <c r="F194" s="6"/>
      <c r="G194" s="6"/>
      <c r="H194" s="6"/>
      <c r="I194" s="11" t="str">
        <f t="shared" si="4"/>
        <v/>
      </c>
      <c r="J194" s="11" t="str">
        <f t="shared" si="5"/>
        <v/>
      </c>
    </row>
    <row r="195" spans="1:10" x14ac:dyDescent="0.35">
      <c r="A195" s="6"/>
      <c r="B195" s="9"/>
      <c r="C195" s="6"/>
      <c r="D195" s="6"/>
      <c r="E195" s="6"/>
      <c r="F195" s="6"/>
      <c r="G195" s="6"/>
      <c r="H195" s="6"/>
      <c r="I195" s="11" t="str">
        <f t="shared" si="4"/>
        <v/>
      </c>
      <c r="J195" s="11" t="str">
        <f t="shared" si="5"/>
        <v/>
      </c>
    </row>
    <row r="196" spans="1:10" x14ac:dyDescent="0.35">
      <c r="A196" s="6"/>
      <c r="B196" s="9"/>
      <c r="C196" s="6"/>
      <c r="D196" s="6"/>
      <c r="E196" s="6"/>
      <c r="F196" s="6"/>
      <c r="G196" s="6"/>
      <c r="H196" s="6"/>
      <c r="I196" s="11" t="str">
        <f t="shared" ref="I196:I259" si="6">IF(A196="","",IF(OR(B196="",C196="",D196="",E196="",F196="",G196=""),"MISSING FIELD","ENTERED"))</f>
        <v/>
      </c>
      <c r="J196" s="11" t="str">
        <f t="shared" ref="J196:J259" si="7">IF(A196="","",IF(OR(F196="",NOT(ISNUMBER(F196))),"CHECK HOURS",IF(F196&gt;16,"REVIEW","OK")))</f>
        <v/>
      </c>
    </row>
    <row r="197" spans="1:10" x14ac:dyDescent="0.35">
      <c r="A197" s="6"/>
      <c r="B197" s="9"/>
      <c r="C197" s="6"/>
      <c r="D197" s="6"/>
      <c r="E197" s="6"/>
      <c r="F197" s="6"/>
      <c r="G197" s="6"/>
      <c r="H197" s="6"/>
      <c r="I197" s="11" t="str">
        <f t="shared" si="6"/>
        <v/>
      </c>
      <c r="J197" s="11" t="str">
        <f t="shared" si="7"/>
        <v/>
      </c>
    </row>
    <row r="198" spans="1:10" x14ac:dyDescent="0.35">
      <c r="A198" s="6"/>
      <c r="B198" s="9"/>
      <c r="C198" s="6"/>
      <c r="D198" s="6"/>
      <c r="E198" s="6"/>
      <c r="F198" s="6"/>
      <c r="G198" s="6"/>
      <c r="H198" s="6"/>
      <c r="I198" s="11" t="str">
        <f t="shared" si="6"/>
        <v/>
      </c>
      <c r="J198" s="11" t="str">
        <f t="shared" si="7"/>
        <v/>
      </c>
    </row>
    <row r="199" spans="1:10" x14ac:dyDescent="0.35">
      <c r="A199" s="6"/>
      <c r="B199" s="9"/>
      <c r="C199" s="6"/>
      <c r="D199" s="6"/>
      <c r="E199" s="6"/>
      <c r="F199" s="6"/>
      <c r="G199" s="6"/>
      <c r="H199" s="6"/>
      <c r="I199" s="11" t="str">
        <f t="shared" si="6"/>
        <v/>
      </c>
      <c r="J199" s="11" t="str">
        <f t="shared" si="7"/>
        <v/>
      </c>
    </row>
    <row r="200" spans="1:10" x14ac:dyDescent="0.35">
      <c r="A200" s="6"/>
      <c r="B200" s="9"/>
      <c r="C200" s="6"/>
      <c r="D200" s="6"/>
      <c r="E200" s="6"/>
      <c r="F200" s="6"/>
      <c r="G200" s="6"/>
      <c r="H200" s="6"/>
      <c r="I200" s="11" t="str">
        <f t="shared" si="6"/>
        <v/>
      </c>
      <c r="J200" s="11" t="str">
        <f t="shared" si="7"/>
        <v/>
      </c>
    </row>
    <row r="201" spans="1:10" x14ac:dyDescent="0.35">
      <c r="A201" s="6"/>
      <c r="B201" s="9"/>
      <c r="C201" s="6"/>
      <c r="D201" s="6"/>
      <c r="E201" s="6"/>
      <c r="F201" s="6"/>
      <c r="G201" s="6"/>
      <c r="H201" s="6"/>
      <c r="I201" s="11" t="str">
        <f t="shared" si="6"/>
        <v/>
      </c>
      <c r="J201" s="11" t="str">
        <f t="shared" si="7"/>
        <v/>
      </c>
    </row>
    <row r="202" spans="1:10" x14ac:dyDescent="0.35">
      <c r="A202" s="6"/>
      <c r="B202" s="9"/>
      <c r="C202" s="6"/>
      <c r="D202" s="6"/>
      <c r="E202" s="6"/>
      <c r="F202" s="6"/>
      <c r="G202" s="6"/>
      <c r="H202" s="6"/>
      <c r="I202" s="11" t="str">
        <f t="shared" si="6"/>
        <v/>
      </c>
      <c r="J202" s="11" t="str">
        <f t="shared" si="7"/>
        <v/>
      </c>
    </row>
    <row r="203" spans="1:10" x14ac:dyDescent="0.35">
      <c r="A203" s="6"/>
      <c r="B203" s="9"/>
      <c r="C203" s="6"/>
      <c r="D203" s="6"/>
      <c r="E203" s="6"/>
      <c r="F203" s="6"/>
      <c r="G203" s="6"/>
      <c r="H203" s="6"/>
      <c r="I203" s="11" t="str">
        <f t="shared" si="6"/>
        <v/>
      </c>
      <c r="J203" s="11" t="str">
        <f t="shared" si="7"/>
        <v/>
      </c>
    </row>
    <row r="204" spans="1:10" x14ac:dyDescent="0.35">
      <c r="A204" s="6"/>
      <c r="B204" s="9"/>
      <c r="C204" s="6"/>
      <c r="D204" s="6"/>
      <c r="E204" s="6"/>
      <c r="F204" s="6"/>
      <c r="G204" s="6"/>
      <c r="H204" s="6"/>
      <c r="I204" s="11" t="str">
        <f t="shared" si="6"/>
        <v/>
      </c>
      <c r="J204" s="11" t="str">
        <f t="shared" si="7"/>
        <v/>
      </c>
    </row>
    <row r="205" spans="1:10" x14ac:dyDescent="0.35">
      <c r="A205" s="6"/>
      <c r="B205" s="9"/>
      <c r="C205" s="6"/>
      <c r="D205" s="6"/>
      <c r="E205" s="6"/>
      <c r="F205" s="6"/>
      <c r="G205" s="6"/>
      <c r="H205" s="6"/>
      <c r="I205" s="11" t="str">
        <f t="shared" si="6"/>
        <v/>
      </c>
      <c r="J205" s="11" t="str">
        <f t="shared" si="7"/>
        <v/>
      </c>
    </row>
    <row r="206" spans="1:10" x14ac:dyDescent="0.35">
      <c r="A206" s="6"/>
      <c r="B206" s="9"/>
      <c r="C206" s="6"/>
      <c r="D206" s="6"/>
      <c r="E206" s="6"/>
      <c r="F206" s="6"/>
      <c r="G206" s="6"/>
      <c r="H206" s="6"/>
      <c r="I206" s="11" t="str">
        <f t="shared" si="6"/>
        <v/>
      </c>
      <c r="J206" s="11" t="str">
        <f t="shared" si="7"/>
        <v/>
      </c>
    </row>
    <row r="207" spans="1:10" x14ac:dyDescent="0.35">
      <c r="A207" s="6"/>
      <c r="B207" s="9"/>
      <c r="C207" s="6"/>
      <c r="D207" s="6"/>
      <c r="E207" s="6"/>
      <c r="F207" s="6"/>
      <c r="G207" s="6"/>
      <c r="H207" s="6"/>
      <c r="I207" s="11" t="str">
        <f t="shared" si="6"/>
        <v/>
      </c>
      <c r="J207" s="11" t="str">
        <f t="shared" si="7"/>
        <v/>
      </c>
    </row>
    <row r="208" spans="1:10" x14ac:dyDescent="0.35">
      <c r="A208" s="6"/>
      <c r="B208" s="9"/>
      <c r="C208" s="6"/>
      <c r="D208" s="6"/>
      <c r="E208" s="6"/>
      <c r="F208" s="6"/>
      <c r="G208" s="6"/>
      <c r="H208" s="6"/>
      <c r="I208" s="11" t="str">
        <f t="shared" si="6"/>
        <v/>
      </c>
      <c r="J208" s="11" t="str">
        <f t="shared" si="7"/>
        <v/>
      </c>
    </row>
    <row r="209" spans="1:10" x14ac:dyDescent="0.35">
      <c r="A209" s="6"/>
      <c r="B209" s="9"/>
      <c r="C209" s="6"/>
      <c r="D209" s="6"/>
      <c r="E209" s="6"/>
      <c r="F209" s="6"/>
      <c r="G209" s="6"/>
      <c r="H209" s="6"/>
      <c r="I209" s="11" t="str">
        <f t="shared" si="6"/>
        <v/>
      </c>
      <c r="J209" s="11" t="str">
        <f t="shared" si="7"/>
        <v/>
      </c>
    </row>
    <row r="210" spans="1:10" x14ac:dyDescent="0.35">
      <c r="A210" s="6"/>
      <c r="B210" s="9"/>
      <c r="C210" s="6"/>
      <c r="D210" s="6"/>
      <c r="E210" s="6"/>
      <c r="F210" s="6"/>
      <c r="G210" s="6"/>
      <c r="H210" s="6"/>
      <c r="I210" s="11" t="str">
        <f t="shared" si="6"/>
        <v/>
      </c>
      <c r="J210" s="11" t="str">
        <f t="shared" si="7"/>
        <v/>
      </c>
    </row>
    <row r="211" spans="1:10" x14ac:dyDescent="0.35">
      <c r="A211" s="6"/>
      <c r="B211" s="9"/>
      <c r="C211" s="6"/>
      <c r="D211" s="6"/>
      <c r="E211" s="6"/>
      <c r="F211" s="6"/>
      <c r="G211" s="6"/>
      <c r="H211" s="6"/>
      <c r="I211" s="11" t="str">
        <f t="shared" si="6"/>
        <v/>
      </c>
      <c r="J211" s="11" t="str">
        <f t="shared" si="7"/>
        <v/>
      </c>
    </row>
    <row r="212" spans="1:10" x14ac:dyDescent="0.35">
      <c r="A212" s="6"/>
      <c r="B212" s="9"/>
      <c r="C212" s="6"/>
      <c r="D212" s="6"/>
      <c r="E212" s="6"/>
      <c r="F212" s="6"/>
      <c r="G212" s="6"/>
      <c r="H212" s="6"/>
      <c r="I212" s="11" t="str">
        <f t="shared" si="6"/>
        <v/>
      </c>
      <c r="J212" s="11" t="str">
        <f t="shared" si="7"/>
        <v/>
      </c>
    </row>
    <row r="213" spans="1:10" x14ac:dyDescent="0.35">
      <c r="A213" s="6"/>
      <c r="B213" s="9"/>
      <c r="C213" s="6"/>
      <c r="D213" s="6"/>
      <c r="E213" s="6"/>
      <c r="F213" s="6"/>
      <c r="G213" s="6"/>
      <c r="H213" s="6"/>
      <c r="I213" s="11" t="str">
        <f t="shared" si="6"/>
        <v/>
      </c>
      <c r="J213" s="11" t="str">
        <f t="shared" si="7"/>
        <v/>
      </c>
    </row>
    <row r="214" spans="1:10" x14ac:dyDescent="0.35">
      <c r="A214" s="6"/>
      <c r="B214" s="9"/>
      <c r="C214" s="6"/>
      <c r="D214" s="6"/>
      <c r="E214" s="6"/>
      <c r="F214" s="6"/>
      <c r="G214" s="6"/>
      <c r="H214" s="6"/>
      <c r="I214" s="11" t="str">
        <f t="shared" si="6"/>
        <v/>
      </c>
      <c r="J214" s="11" t="str">
        <f t="shared" si="7"/>
        <v/>
      </c>
    </row>
    <row r="215" spans="1:10" x14ac:dyDescent="0.35">
      <c r="A215" s="6"/>
      <c r="B215" s="9"/>
      <c r="C215" s="6"/>
      <c r="D215" s="6"/>
      <c r="E215" s="6"/>
      <c r="F215" s="6"/>
      <c r="G215" s="6"/>
      <c r="H215" s="6"/>
      <c r="I215" s="11" t="str">
        <f t="shared" si="6"/>
        <v/>
      </c>
      <c r="J215" s="11" t="str">
        <f t="shared" si="7"/>
        <v/>
      </c>
    </row>
    <row r="216" spans="1:10" x14ac:dyDescent="0.35">
      <c r="A216" s="6"/>
      <c r="B216" s="9"/>
      <c r="C216" s="6"/>
      <c r="D216" s="6"/>
      <c r="E216" s="6"/>
      <c r="F216" s="6"/>
      <c r="G216" s="6"/>
      <c r="H216" s="6"/>
      <c r="I216" s="11" t="str">
        <f t="shared" si="6"/>
        <v/>
      </c>
      <c r="J216" s="11" t="str">
        <f t="shared" si="7"/>
        <v/>
      </c>
    </row>
    <row r="217" spans="1:10" x14ac:dyDescent="0.35">
      <c r="A217" s="6"/>
      <c r="B217" s="9"/>
      <c r="C217" s="6"/>
      <c r="D217" s="6"/>
      <c r="E217" s="6"/>
      <c r="F217" s="6"/>
      <c r="G217" s="6"/>
      <c r="H217" s="6"/>
      <c r="I217" s="11" t="str">
        <f t="shared" si="6"/>
        <v/>
      </c>
      <c r="J217" s="11" t="str">
        <f t="shared" si="7"/>
        <v/>
      </c>
    </row>
    <row r="218" spans="1:10" x14ac:dyDescent="0.35">
      <c r="A218" s="6"/>
      <c r="B218" s="9"/>
      <c r="C218" s="6"/>
      <c r="D218" s="6"/>
      <c r="E218" s="6"/>
      <c r="F218" s="6"/>
      <c r="G218" s="6"/>
      <c r="H218" s="6"/>
      <c r="I218" s="11" t="str">
        <f t="shared" si="6"/>
        <v/>
      </c>
      <c r="J218" s="11" t="str">
        <f t="shared" si="7"/>
        <v/>
      </c>
    </row>
    <row r="219" spans="1:10" x14ac:dyDescent="0.35">
      <c r="A219" s="6"/>
      <c r="B219" s="9"/>
      <c r="C219" s="6"/>
      <c r="D219" s="6"/>
      <c r="E219" s="6"/>
      <c r="F219" s="6"/>
      <c r="G219" s="6"/>
      <c r="H219" s="6"/>
      <c r="I219" s="11" t="str">
        <f t="shared" si="6"/>
        <v/>
      </c>
      <c r="J219" s="11" t="str">
        <f t="shared" si="7"/>
        <v/>
      </c>
    </row>
    <row r="220" spans="1:10" x14ac:dyDescent="0.35">
      <c r="A220" s="6"/>
      <c r="B220" s="9"/>
      <c r="C220" s="6"/>
      <c r="D220" s="6"/>
      <c r="E220" s="6"/>
      <c r="F220" s="6"/>
      <c r="G220" s="6"/>
      <c r="H220" s="6"/>
      <c r="I220" s="11" t="str">
        <f t="shared" si="6"/>
        <v/>
      </c>
      <c r="J220" s="11" t="str">
        <f t="shared" si="7"/>
        <v/>
      </c>
    </row>
    <row r="221" spans="1:10" x14ac:dyDescent="0.35">
      <c r="A221" s="6"/>
      <c r="B221" s="9"/>
      <c r="C221" s="6"/>
      <c r="D221" s="6"/>
      <c r="E221" s="6"/>
      <c r="F221" s="6"/>
      <c r="G221" s="6"/>
      <c r="H221" s="6"/>
      <c r="I221" s="11" t="str">
        <f t="shared" si="6"/>
        <v/>
      </c>
      <c r="J221" s="11" t="str">
        <f t="shared" si="7"/>
        <v/>
      </c>
    </row>
    <row r="222" spans="1:10" x14ac:dyDescent="0.35">
      <c r="A222" s="6"/>
      <c r="B222" s="9"/>
      <c r="C222" s="6"/>
      <c r="D222" s="6"/>
      <c r="E222" s="6"/>
      <c r="F222" s="6"/>
      <c r="G222" s="6"/>
      <c r="H222" s="6"/>
      <c r="I222" s="11" t="str">
        <f t="shared" si="6"/>
        <v/>
      </c>
      <c r="J222" s="11" t="str">
        <f t="shared" si="7"/>
        <v/>
      </c>
    </row>
    <row r="223" spans="1:10" x14ac:dyDescent="0.35">
      <c r="A223" s="6"/>
      <c r="B223" s="9"/>
      <c r="C223" s="6"/>
      <c r="D223" s="6"/>
      <c r="E223" s="6"/>
      <c r="F223" s="6"/>
      <c r="G223" s="6"/>
      <c r="H223" s="6"/>
      <c r="I223" s="11" t="str">
        <f t="shared" si="6"/>
        <v/>
      </c>
      <c r="J223" s="11" t="str">
        <f t="shared" si="7"/>
        <v/>
      </c>
    </row>
    <row r="224" spans="1:10" x14ac:dyDescent="0.35">
      <c r="A224" s="6"/>
      <c r="B224" s="9"/>
      <c r="C224" s="6"/>
      <c r="D224" s="6"/>
      <c r="E224" s="6"/>
      <c r="F224" s="6"/>
      <c r="G224" s="6"/>
      <c r="H224" s="6"/>
      <c r="I224" s="11" t="str">
        <f t="shared" si="6"/>
        <v/>
      </c>
      <c r="J224" s="11" t="str">
        <f t="shared" si="7"/>
        <v/>
      </c>
    </row>
    <row r="225" spans="1:10" x14ac:dyDescent="0.35">
      <c r="A225" s="6"/>
      <c r="B225" s="9"/>
      <c r="C225" s="6"/>
      <c r="D225" s="6"/>
      <c r="E225" s="6"/>
      <c r="F225" s="6"/>
      <c r="G225" s="6"/>
      <c r="H225" s="6"/>
      <c r="I225" s="11" t="str">
        <f t="shared" si="6"/>
        <v/>
      </c>
      <c r="J225" s="11" t="str">
        <f t="shared" si="7"/>
        <v/>
      </c>
    </row>
    <row r="226" spans="1:10" x14ac:dyDescent="0.35">
      <c r="A226" s="6"/>
      <c r="B226" s="9"/>
      <c r="C226" s="6"/>
      <c r="D226" s="6"/>
      <c r="E226" s="6"/>
      <c r="F226" s="6"/>
      <c r="G226" s="6"/>
      <c r="H226" s="6"/>
      <c r="I226" s="11" t="str">
        <f t="shared" si="6"/>
        <v/>
      </c>
      <c r="J226" s="11" t="str">
        <f t="shared" si="7"/>
        <v/>
      </c>
    </row>
    <row r="227" spans="1:10" x14ac:dyDescent="0.35">
      <c r="A227" s="6"/>
      <c r="B227" s="9"/>
      <c r="C227" s="6"/>
      <c r="D227" s="6"/>
      <c r="E227" s="6"/>
      <c r="F227" s="6"/>
      <c r="G227" s="6"/>
      <c r="H227" s="6"/>
      <c r="I227" s="11" t="str">
        <f t="shared" si="6"/>
        <v/>
      </c>
      <c r="J227" s="11" t="str">
        <f t="shared" si="7"/>
        <v/>
      </c>
    </row>
    <row r="228" spans="1:10" x14ac:dyDescent="0.35">
      <c r="A228" s="6"/>
      <c r="B228" s="9"/>
      <c r="C228" s="6"/>
      <c r="D228" s="6"/>
      <c r="E228" s="6"/>
      <c r="F228" s="6"/>
      <c r="G228" s="6"/>
      <c r="H228" s="6"/>
      <c r="I228" s="11" t="str">
        <f t="shared" si="6"/>
        <v/>
      </c>
      <c r="J228" s="11" t="str">
        <f t="shared" si="7"/>
        <v/>
      </c>
    </row>
    <row r="229" spans="1:10" x14ac:dyDescent="0.35">
      <c r="A229" s="6"/>
      <c r="B229" s="9"/>
      <c r="C229" s="6"/>
      <c r="D229" s="6"/>
      <c r="E229" s="6"/>
      <c r="F229" s="6"/>
      <c r="G229" s="6"/>
      <c r="H229" s="6"/>
      <c r="I229" s="11" t="str">
        <f t="shared" si="6"/>
        <v/>
      </c>
      <c r="J229" s="11" t="str">
        <f t="shared" si="7"/>
        <v/>
      </c>
    </row>
    <row r="230" spans="1:10" x14ac:dyDescent="0.35">
      <c r="A230" s="6"/>
      <c r="B230" s="9"/>
      <c r="C230" s="6"/>
      <c r="D230" s="6"/>
      <c r="E230" s="6"/>
      <c r="F230" s="6"/>
      <c r="G230" s="6"/>
      <c r="H230" s="6"/>
      <c r="I230" s="11" t="str">
        <f t="shared" si="6"/>
        <v/>
      </c>
      <c r="J230" s="11" t="str">
        <f t="shared" si="7"/>
        <v/>
      </c>
    </row>
    <row r="231" spans="1:10" x14ac:dyDescent="0.35">
      <c r="A231" s="6"/>
      <c r="B231" s="9"/>
      <c r="C231" s="6"/>
      <c r="D231" s="6"/>
      <c r="E231" s="6"/>
      <c r="F231" s="6"/>
      <c r="G231" s="6"/>
      <c r="H231" s="6"/>
      <c r="I231" s="11" t="str">
        <f t="shared" si="6"/>
        <v/>
      </c>
      <c r="J231" s="11" t="str">
        <f t="shared" si="7"/>
        <v/>
      </c>
    </row>
    <row r="232" spans="1:10" x14ac:dyDescent="0.35">
      <c r="A232" s="6"/>
      <c r="B232" s="9"/>
      <c r="C232" s="6"/>
      <c r="D232" s="6"/>
      <c r="E232" s="6"/>
      <c r="F232" s="6"/>
      <c r="G232" s="6"/>
      <c r="H232" s="6"/>
      <c r="I232" s="11" t="str">
        <f t="shared" si="6"/>
        <v/>
      </c>
      <c r="J232" s="11" t="str">
        <f t="shared" si="7"/>
        <v/>
      </c>
    </row>
    <row r="233" spans="1:10" x14ac:dyDescent="0.35">
      <c r="A233" s="6"/>
      <c r="B233" s="9"/>
      <c r="C233" s="6"/>
      <c r="D233" s="6"/>
      <c r="E233" s="6"/>
      <c r="F233" s="6"/>
      <c r="G233" s="6"/>
      <c r="H233" s="6"/>
      <c r="I233" s="11" t="str">
        <f t="shared" si="6"/>
        <v/>
      </c>
      <c r="J233" s="11" t="str">
        <f t="shared" si="7"/>
        <v/>
      </c>
    </row>
    <row r="234" spans="1:10" x14ac:dyDescent="0.35">
      <c r="A234" s="6"/>
      <c r="B234" s="9"/>
      <c r="C234" s="6"/>
      <c r="D234" s="6"/>
      <c r="E234" s="6"/>
      <c r="F234" s="6"/>
      <c r="G234" s="6"/>
      <c r="H234" s="6"/>
      <c r="I234" s="11" t="str">
        <f t="shared" si="6"/>
        <v/>
      </c>
      <c r="J234" s="11" t="str">
        <f t="shared" si="7"/>
        <v/>
      </c>
    </row>
    <row r="235" spans="1:10" x14ac:dyDescent="0.35">
      <c r="A235" s="6"/>
      <c r="B235" s="9"/>
      <c r="C235" s="6"/>
      <c r="D235" s="6"/>
      <c r="E235" s="6"/>
      <c r="F235" s="6"/>
      <c r="G235" s="6"/>
      <c r="H235" s="6"/>
      <c r="I235" s="11" t="str">
        <f t="shared" si="6"/>
        <v/>
      </c>
      <c r="J235" s="11" t="str">
        <f t="shared" si="7"/>
        <v/>
      </c>
    </row>
    <row r="236" spans="1:10" x14ac:dyDescent="0.35">
      <c r="A236" s="6"/>
      <c r="B236" s="9"/>
      <c r="C236" s="6"/>
      <c r="D236" s="6"/>
      <c r="E236" s="6"/>
      <c r="F236" s="6"/>
      <c r="G236" s="6"/>
      <c r="H236" s="6"/>
      <c r="I236" s="11" t="str">
        <f t="shared" si="6"/>
        <v/>
      </c>
      <c r="J236" s="11" t="str">
        <f t="shared" si="7"/>
        <v/>
      </c>
    </row>
    <row r="237" spans="1:10" x14ac:dyDescent="0.35">
      <c r="A237" s="6"/>
      <c r="B237" s="9"/>
      <c r="C237" s="6"/>
      <c r="D237" s="6"/>
      <c r="E237" s="6"/>
      <c r="F237" s="6"/>
      <c r="G237" s="6"/>
      <c r="H237" s="6"/>
      <c r="I237" s="11" t="str">
        <f t="shared" si="6"/>
        <v/>
      </c>
      <c r="J237" s="11" t="str">
        <f t="shared" si="7"/>
        <v/>
      </c>
    </row>
    <row r="238" spans="1:10" x14ac:dyDescent="0.35">
      <c r="A238" s="6"/>
      <c r="B238" s="9"/>
      <c r="C238" s="6"/>
      <c r="D238" s="6"/>
      <c r="E238" s="6"/>
      <c r="F238" s="6"/>
      <c r="G238" s="6"/>
      <c r="H238" s="6"/>
      <c r="I238" s="11" t="str">
        <f t="shared" si="6"/>
        <v/>
      </c>
      <c r="J238" s="11" t="str">
        <f t="shared" si="7"/>
        <v/>
      </c>
    </row>
    <row r="239" spans="1:10" x14ac:dyDescent="0.35">
      <c r="A239" s="6"/>
      <c r="B239" s="9"/>
      <c r="C239" s="6"/>
      <c r="D239" s="6"/>
      <c r="E239" s="6"/>
      <c r="F239" s="6"/>
      <c r="G239" s="6"/>
      <c r="H239" s="6"/>
      <c r="I239" s="11" t="str">
        <f t="shared" si="6"/>
        <v/>
      </c>
      <c r="J239" s="11" t="str">
        <f t="shared" si="7"/>
        <v/>
      </c>
    </row>
    <row r="240" spans="1:10" x14ac:dyDescent="0.35">
      <c r="A240" s="6"/>
      <c r="B240" s="9"/>
      <c r="C240" s="6"/>
      <c r="D240" s="6"/>
      <c r="E240" s="6"/>
      <c r="F240" s="6"/>
      <c r="G240" s="6"/>
      <c r="H240" s="6"/>
      <c r="I240" s="11" t="str">
        <f t="shared" si="6"/>
        <v/>
      </c>
      <c r="J240" s="11" t="str">
        <f t="shared" si="7"/>
        <v/>
      </c>
    </row>
    <row r="241" spans="1:10" x14ac:dyDescent="0.35">
      <c r="A241" s="6"/>
      <c r="B241" s="9"/>
      <c r="C241" s="6"/>
      <c r="D241" s="6"/>
      <c r="E241" s="6"/>
      <c r="F241" s="6"/>
      <c r="G241" s="6"/>
      <c r="H241" s="6"/>
      <c r="I241" s="11" t="str">
        <f t="shared" si="6"/>
        <v/>
      </c>
      <c r="J241" s="11" t="str">
        <f t="shared" si="7"/>
        <v/>
      </c>
    </row>
    <row r="242" spans="1:10" x14ac:dyDescent="0.35">
      <c r="A242" s="6"/>
      <c r="B242" s="9"/>
      <c r="C242" s="6"/>
      <c r="D242" s="6"/>
      <c r="E242" s="6"/>
      <c r="F242" s="6"/>
      <c r="G242" s="6"/>
      <c r="H242" s="6"/>
      <c r="I242" s="11" t="str">
        <f t="shared" si="6"/>
        <v/>
      </c>
      <c r="J242" s="11" t="str">
        <f t="shared" si="7"/>
        <v/>
      </c>
    </row>
    <row r="243" spans="1:10" x14ac:dyDescent="0.35">
      <c r="A243" s="6"/>
      <c r="B243" s="9"/>
      <c r="C243" s="6"/>
      <c r="D243" s="6"/>
      <c r="E243" s="6"/>
      <c r="F243" s="6"/>
      <c r="G243" s="6"/>
      <c r="H243" s="6"/>
      <c r="I243" s="11" t="str">
        <f t="shared" si="6"/>
        <v/>
      </c>
      <c r="J243" s="11" t="str">
        <f t="shared" si="7"/>
        <v/>
      </c>
    </row>
    <row r="244" spans="1:10" x14ac:dyDescent="0.35">
      <c r="A244" s="6"/>
      <c r="B244" s="9"/>
      <c r="C244" s="6"/>
      <c r="D244" s="6"/>
      <c r="E244" s="6"/>
      <c r="F244" s="6"/>
      <c r="G244" s="6"/>
      <c r="H244" s="6"/>
      <c r="I244" s="11" t="str">
        <f t="shared" si="6"/>
        <v/>
      </c>
      <c r="J244" s="11" t="str">
        <f t="shared" si="7"/>
        <v/>
      </c>
    </row>
    <row r="245" spans="1:10" x14ac:dyDescent="0.35">
      <c r="A245" s="6"/>
      <c r="B245" s="9"/>
      <c r="C245" s="6"/>
      <c r="D245" s="6"/>
      <c r="E245" s="6"/>
      <c r="F245" s="6"/>
      <c r="G245" s="6"/>
      <c r="H245" s="6"/>
      <c r="I245" s="11" t="str">
        <f t="shared" si="6"/>
        <v/>
      </c>
      <c r="J245" s="11" t="str">
        <f t="shared" si="7"/>
        <v/>
      </c>
    </row>
    <row r="246" spans="1:10" x14ac:dyDescent="0.35">
      <c r="A246" s="6"/>
      <c r="B246" s="9"/>
      <c r="C246" s="6"/>
      <c r="D246" s="6"/>
      <c r="E246" s="6"/>
      <c r="F246" s="6"/>
      <c r="G246" s="6"/>
      <c r="H246" s="6"/>
      <c r="I246" s="11" t="str">
        <f t="shared" si="6"/>
        <v/>
      </c>
      <c r="J246" s="11" t="str">
        <f t="shared" si="7"/>
        <v/>
      </c>
    </row>
    <row r="247" spans="1:10" x14ac:dyDescent="0.35">
      <c r="A247" s="6"/>
      <c r="B247" s="9"/>
      <c r="C247" s="6"/>
      <c r="D247" s="6"/>
      <c r="E247" s="6"/>
      <c r="F247" s="6"/>
      <c r="G247" s="6"/>
      <c r="H247" s="6"/>
      <c r="I247" s="11" t="str">
        <f t="shared" si="6"/>
        <v/>
      </c>
      <c r="J247" s="11" t="str">
        <f t="shared" si="7"/>
        <v/>
      </c>
    </row>
    <row r="248" spans="1:10" x14ac:dyDescent="0.35">
      <c r="A248" s="6"/>
      <c r="B248" s="9"/>
      <c r="C248" s="6"/>
      <c r="D248" s="6"/>
      <c r="E248" s="6"/>
      <c r="F248" s="6"/>
      <c r="G248" s="6"/>
      <c r="H248" s="6"/>
      <c r="I248" s="11" t="str">
        <f t="shared" si="6"/>
        <v/>
      </c>
      <c r="J248" s="11" t="str">
        <f t="shared" si="7"/>
        <v/>
      </c>
    </row>
    <row r="249" spans="1:10" x14ac:dyDescent="0.35">
      <c r="A249" s="6"/>
      <c r="B249" s="9"/>
      <c r="C249" s="6"/>
      <c r="D249" s="6"/>
      <c r="E249" s="6"/>
      <c r="F249" s="6"/>
      <c r="G249" s="6"/>
      <c r="H249" s="6"/>
      <c r="I249" s="11" t="str">
        <f t="shared" si="6"/>
        <v/>
      </c>
      <c r="J249" s="11" t="str">
        <f t="shared" si="7"/>
        <v/>
      </c>
    </row>
    <row r="250" spans="1:10" x14ac:dyDescent="0.35">
      <c r="A250" s="6"/>
      <c r="B250" s="9"/>
      <c r="C250" s="6"/>
      <c r="D250" s="6"/>
      <c r="E250" s="6"/>
      <c r="F250" s="6"/>
      <c r="G250" s="6"/>
      <c r="H250" s="6"/>
      <c r="I250" s="11" t="str">
        <f t="shared" si="6"/>
        <v/>
      </c>
      <c r="J250" s="11" t="str">
        <f t="shared" si="7"/>
        <v/>
      </c>
    </row>
    <row r="251" spans="1:10" x14ac:dyDescent="0.35">
      <c r="A251" s="6"/>
      <c r="B251" s="9"/>
      <c r="C251" s="6"/>
      <c r="D251" s="6"/>
      <c r="E251" s="6"/>
      <c r="F251" s="6"/>
      <c r="G251" s="6"/>
      <c r="H251" s="6"/>
      <c r="I251" s="11" t="str">
        <f t="shared" si="6"/>
        <v/>
      </c>
      <c r="J251" s="11" t="str">
        <f t="shared" si="7"/>
        <v/>
      </c>
    </row>
    <row r="252" spans="1:10" x14ac:dyDescent="0.35">
      <c r="A252" s="6"/>
      <c r="B252" s="9"/>
      <c r="C252" s="6"/>
      <c r="D252" s="6"/>
      <c r="E252" s="6"/>
      <c r="F252" s="6"/>
      <c r="G252" s="6"/>
      <c r="H252" s="6"/>
      <c r="I252" s="11" t="str">
        <f t="shared" si="6"/>
        <v/>
      </c>
      <c r="J252" s="11" t="str">
        <f t="shared" si="7"/>
        <v/>
      </c>
    </row>
    <row r="253" spans="1:10" x14ac:dyDescent="0.35">
      <c r="A253" s="6"/>
      <c r="B253" s="9"/>
      <c r="C253" s="6"/>
      <c r="D253" s="6"/>
      <c r="E253" s="6"/>
      <c r="F253" s="6"/>
      <c r="G253" s="6"/>
      <c r="H253" s="6"/>
      <c r="I253" s="11" t="str">
        <f t="shared" si="6"/>
        <v/>
      </c>
      <c r="J253" s="11" t="str">
        <f t="shared" si="7"/>
        <v/>
      </c>
    </row>
    <row r="254" spans="1:10" x14ac:dyDescent="0.35">
      <c r="A254" s="6"/>
      <c r="B254" s="9"/>
      <c r="C254" s="6"/>
      <c r="D254" s="6"/>
      <c r="E254" s="6"/>
      <c r="F254" s="6"/>
      <c r="G254" s="6"/>
      <c r="H254" s="6"/>
      <c r="I254" s="11" t="str">
        <f t="shared" si="6"/>
        <v/>
      </c>
      <c r="J254" s="11" t="str">
        <f t="shared" si="7"/>
        <v/>
      </c>
    </row>
    <row r="255" spans="1:10" x14ac:dyDescent="0.35">
      <c r="A255" s="6"/>
      <c r="B255" s="9"/>
      <c r="C255" s="6"/>
      <c r="D255" s="6"/>
      <c r="E255" s="6"/>
      <c r="F255" s="6"/>
      <c r="G255" s="6"/>
      <c r="H255" s="6"/>
      <c r="I255" s="11" t="str">
        <f t="shared" si="6"/>
        <v/>
      </c>
      <c r="J255" s="11" t="str">
        <f t="shared" si="7"/>
        <v/>
      </c>
    </row>
    <row r="256" spans="1:10" x14ac:dyDescent="0.35">
      <c r="A256" s="6"/>
      <c r="B256" s="9"/>
      <c r="C256" s="6"/>
      <c r="D256" s="6"/>
      <c r="E256" s="6"/>
      <c r="F256" s="6"/>
      <c r="G256" s="6"/>
      <c r="H256" s="6"/>
      <c r="I256" s="11" t="str">
        <f t="shared" si="6"/>
        <v/>
      </c>
      <c r="J256" s="11" t="str">
        <f t="shared" si="7"/>
        <v/>
      </c>
    </row>
    <row r="257" spans="1:10" x14ac:dyDescent="0.35">
      <c r="A257" s="6"/>
      <c r="B257" s="9"/>
      <c r="C257" s="6"/>
      <c r="D257" s="6"/>
      <c r="E257" s="6"/>
      <c r="F257" s="6"/>
      <c r="G257" s="6"/>
      <c r="H257" s="6"/>
      <c r="I257" s="11" t="str">
        <f t="shared" si="6"/>
        <v/>
      </c>
      <c r="J257" s="11" t="str">
        <f t="shared" si="7"/>
        <v/>
      </c>
    </row>
    <row r="258" spans="1:10" x14ac:dyDescent="0.35">
      <c r="A258" s="6"/>
      <c r="B258" s="9"/>
      <c r="C258" s="6"/>
      <c r="D258" s="6"/>
      <c r="E258" s="6"/>
      <c r="F258" s="6"/>
      <c r="G258" s="6"/>
      <c r="H258" s="6"/>
      <c r="I258" s="11" t="str">
        <f t="shared" si="6"/>
        <v/>
      </c>
      <c r="J258" s="11" t="str">
        <f t="shared" si="7"/>
        <v/>
      </c>
    </row>
    <row r="259" spans="1:10" x14ac:dyDescent="0.35">
      <c r="A259" s="6"/>
      <c r="B259" s="9"/>
      <c r="C259" s="6"/>
      <c r="D259" s="6"/>
      <c r="E259" s="6"/>
      <c r="F259" s="6"/>
      <c r="G259" s="6"/>
      <c r="H259" s="6"/>
      <c r="I259" s="11" t="str">
        <f t="shared" si="6"/>
        <v/>
      </c>
      <c r="J259" s="11" t="str">
        <f t="shared" si="7"/>
        <v/>
      </c>
    </row>
    <row r="260" spans="1:10" x14ac:dyDescent="0.35">
      <c r="A260" s="6"/>
      <c r="B260" s="9"/>
      <c r="C260" s="6"/>
      <c r="D260" s="6"/>
      <c r="E260" s="6"/>
      <c r="F260" s="6"/>
      <c r="G260" s="6"/>
      <c r="H260" s="6"/>
      <c r="I260" s="11" t="str">
        <f t="shared" ref="I260:I323" si="8">IF(A260="","",IF(OR(B260="",C260="",D260="",E260="",F260="",G260=""),"MISSING FIELD","ENTERED"))</f>
        <v/>
      </c>
      <c r="J260" s="11" t="str">
        <f t="shared" ref="J260:J323" si="9">IF(A260="","",IF(OR(F260="",NOT(ISNUMBER(F260))),"CHECK HOURS",IF(F260&gt;16,"REVIEW","OK")))</f>
        <v/>
      </c>
    </row>
    <row r="261" spans="1:10" x14ac:dyDescent="0.35">
      <c r="A261" s="6"/>
      <c r="B261" s="9"/>
      <c r="C261" s="6"/>
      <c r="D261" s="6"/>
      <c r="E261" s="6"/>
      <c r="F261" s="6"/>
      <c r="G261" s="6"/>
      <c r="H261" s="6"/>
      <c r="I261" s="11" t="str">
        <f t="shared" si="8"/>
        <v/>
      </c>
      <c r="J261" s="11" t="str">
        <f t="shared" si="9"/>
        <v/>
      </c>
    </row>
    <row r="262" spans="1:10" x14ac:dyDescent="0.35">
      <c r="A262" s="6"/>
      <c r="B262" s="9"/>
      <c r="C262" s="6"/>
      <c r="D262" s="6"/>
      <c r="E262" s="6"/>
      <c r="F262" s="6"/>
      <c r="G262" s="6"/>
      <c r="H262" s="6"/>
      <c r="I262" s="11" t="str">
        <f t="shared" si="8"/>
        <v/>
      </c>
      <c r="J262" s="11" t="str">
        <f t="shared" si="9"/>
        <v/>
      </c>
    </row>
    <row r="263" spans="1:10" x14ac:dyDescent="0.35">
      <c r="A263" s="6"/>
      <c r="B263" s="9"/>
      <c r="C263" s="6"/>
      <c r="D263" s="6"/>
      <c r="E263" s="6"/>
      <c r="F263" s="6"/>
      <c r="G263" s="6"/>
      <c r="H263" s="6"/>
      <c r="I263" s="11" t="str">
        <f t="shared" si="8"/>
        <v/>
      </c>
      <c r="J263" s="11" t="str">
        <f t="shared" si="9"/>
        <v/>
      </c>
    </row>
    <row r="264" spans="1:10" x14ac:dyDescent="0.35">
      <c r="A264" s="6"/>
      <c r="B264" s="9"/>
      <c r="C264" s="6"/>
      <c r="D264" s="6"/>
      <c r="E264" s="6"/>
      <c r="F264" s="6"/>
      <c r="G264" s="6"/>
      <c r="H264" s="6"/>
      <c r="I264" s="11" t="str">
        <f t="shared" si="8"/>
        <v/>
      </c>
      <c r="J264" s="11" t="str">
        <f t="shared" si="9"/>
        <v/>
      </c>
    </row>
    <row r="265" spans="1:10" x14ac:dyDescent="0.35">
      <c r="A265" s="6"/>
      <c r="B265" s="9"/>
      <c r="C265" s="6"/>
      <c r="D265" s="6"/>
      <c r="E265" s="6"/>
      <c r="F265" s="6"/>
      <c r="G265" s="6"/>
      <c r="H265" s="6"/>
      <c r="I265" s="11" t="str">
        <f t="shared" si="8"/>
        <v/>
      </c>
      <c r="J265" s="11" t="str">
        <f t="shared" si="9"/>
        <v/>
      </c>
    </row>
    <row r="266" spans="1:10" x14ac:dyDescent="0.35">
      <c r="A266" s="6"/>
      <c r="B266" s="9"/>
      <c r="C266" s="6"/>
      <c r="D266" s="6"/>
      <c r="E266" s="6"/>
      <c r="F266" s="6"/>
      <c r="G266" s="6"/>
      <c r="H266" s="6"/>
      <c r="I266" s="11" t="str">
        <f t="shared" si="8"/>
        <v/>
      </c>
      <c r="J266" s="11" t="str">
        <f t="shared" si="9"/>
        <v/>
      </c>
    </row>
    <row r="267" spans="1:10" x14ac:dyDescent="0.35">
      <c r="A267" s="6"/>
      <c r="B267" s="9"/>
      <c r="C267" s="6"/>
      <c r="D267" s="6"/>
      <c r="E267" s="6"/>
      <c r="F267" s="6"/>
      <c r="G267" s="6"/>
      <c r="H267" s="6"/>
      <c r="I267" s="11" t="str">
        <f t="shared" si="8"/>
        <v/>
      </c>
      <c r="J267" s="11" t="str">
        <f t="shared" si="9"/>
        <v/>
      </c>
    </row>
    <row r="268" spans="1:10" x14ac:dyDescent="0.35">
      <c r="A268" s="6"/>
      <c r="B268" s="9"/>
      <c r="C268" s="6"/>
      <c r="D268" s="6"/>
      <c r="E268" s="6"/>
      <c r="F268" s="6"/>
      <c r="G268" s="6"/>
      <c r="H268" s="6"/>
      <c r="I268" s="11" t="str">
        <f t="shared" si="8"/>
        <v/>
      </c>
      <c r="J268" s="11" t="str">
        <f t="shared" si="9"/>
        <v/>
      </c>
    </row>
    <row r="269" spans="1:10" x14ac:dyDescent="0.35">
      <c r="A269" s="6"/>
      <c r="B269" s="9"/>
      <c r="C269" s="6"/>
      <c r="D269" s="6"/>
      <c r="E269" s="6"/>
      <c r="F269" s="6"/>
      <c r="G269" s="6"/>
      <c r="H269" s="6"/>
      <c r="I269" s="11" t="str">
        <f t="shared" si="8"/>
        <v/>
      </c>
      <c r="J269" s="11" t="str">
        <f t="shared" si="9"/>
        <v/>
      </c>
    </row>
    <row r="270" spans="1:10" x14ac:dyDescent="0.35">
      <c r="A270" s="6"/>
      <c r="B270" s="9"/>
      <c r="C270" s="6"/>
      <c r="D270" s="6"/>
      <c r="E270" s="6"/>
      <c r="F270" s="6"/>
      <c r="G270" s="6"/>
      <c r="H270" s="6"/>
      <c r="I270" s="11" t="str">
        <f t="shared" si="8"/>
        <v/>
      </c>
      <c r="J270" s="11" t="str">
        <f t="shared" si="9"/>
        <v/>
      </c>
    </row>
    <row r="271" spans="1:10" x14ac:dyDescent="0.35">
      <c r="A271" s="6"/>
      <c r="B271" s="9"/>
      <c r="C271" s="6"/>
      <c r="D271" s="6"/>
      <c r="E271" s="6"/>
      <c r="F271" s="6"/>
      <c r="G271" s="6"/>
      <c r="H271" s="6"/>
      <c r="I271" s="11" t="str">
        <f t="shared" si="8"/>
        <v/>
      </c>
      <c r="J271" s="11" t="str">
        <f t="shared" si="9"/>
        <v/>
      </c>
    </row>
    <row r="272" spans="1:10" x14ac:dyDescent="0.35">
      <c r="A272" s="6"/>
      <c r="B272" s="9"/>
      <c r="C272" s="6"/>
      <c r="D272" s="6"/>
      <c r="E272" s="6"/>
      <c r="F272" s="6"/>
      <c r="G272" s="6"/>
      <c r="H272" s="6"/>
      <c r="I272" s="11" t="str">
        <f t="shared" si="8"/>
        <v/>
      </c>
      <c r="J272" s="11" t="str">
        <f t="shared" si="9"/>
        <v/>
      </c>
    </row>
    <row r="273" spans="1:10" x14ac:dyDescent="0.35">
      <c r="A273" s="6"/>
      <c r="B273" s="9"/>
      <c r="C273" s="6"/>
      <c r="D273" s="6"/>
      <c r="E273" s="6"/>
      <c r="F273" s="6"/>
      <c r="G273" s="6"/>
      <c r="H273" s="6"/>
      <c r="I273" s="11" t="str">
        <f t="shared" si="8"/>
        <v/>
      </c>
      <c r="J273" s="11" t="str">
        <f t="shared" si="9"/>
        <v/>
      </c>
    </row>
    <row r="274" spans="1:10" x14ac:dyDescent="0.35">
      <c r="A274" s="6"/>
      <c r="B274" s="9"/>
      <c r="C274" s="6"/>
      <c r="D274" s="6"/>
      <c r="E274" s="6"/>
      <c r="F274" s="6"/>
      <c r="G274" s="6"/>
      <c r="H274" s="6"/>
      <c r="I274" s="11" t="str">
        <f t="shared" si="8"/>
        <v/>
      </c>
      <c r="J274" s="11" t="str">
        <f t="shared" si="9"/>
        <v/>
      </c>
    </row>
    <row r="275" spans="1:10" x14ac:dyDescent="0.35">
      <c r="A275" s="6"/>
      <c r="B275" s="9"/>
      <c r="C275" s="6"/>
      <c r="D275" s="6"/>
      <c r="E275" s="6"/>
      <c r="F275" s="6"/>
      <c r="G275" s="6"/>
      <c r="H275" s="6"/>
      <c r="I275" s="11" t="str">
        <f t="shared" si="8"/>
        <v/>
      </c>
      <c r="J275" s="11" t="str">
        <f t="shared" si="9"/>
        <v/>
      </c>
    </row>
    <row r="276" spans="1:10" x14ac:dyDescent="0.35">
      <c r="A276" s="6"/>
      <c r="B276" s="9"/>
      <c r="C276" s="6"/>
      <c r="D276" s="6"/>
      <c r="E276" s="6"/>
      <c r="F276" s="6"/>
      <c r="G276" s="6"/>
      <c r="H276" s="6"/>
      <c r="I276" s="11" t="str">
        <f t="shared" si="8"/>
        <v/>
      </c>
      <c r="J276" s="11" t="str">
        <f t="shared" si="9"/>
        <v/>
      </c>
    </row>
    <row r="277" spans="1:10" x14ac:dyDescent="0.35">
      <c r="A277" s="6"/>
      <c r="B277" s="9"/>
      <c r="C277" s="6"/>
      <c r="D277" s="6"/>
      <c r="E277" s="6"/>
      <c r="F277" s="6"/>
      <c r="G277" s="6"/>
      <c r="H277" s="6"/>
      <c r="I277" s="11" t="str">
        <f t="shared" si="8"/>
        <v/>
      </c>
      <c r="J277" s="11" t="str">
        <f t="shared" si="9"/>
        <v/>
      </c>
    </row>
    <row r="278" spans="1:10" x14ac:dyDescent="0.35">
      <c r="A278" s="6"/>
      <c r="B278" s="9"/>
      <c r="C278" s="6"/>
      <c r="D278" s="6"/>
      <c r="E278" s="6"/>
      <c r="F278" s="6"/>
      <c r="G278" s="6"/>
      <c r="H278" s="6"/>
      <c r="I278" s="11" t="str">
        <f t="shared" si="8"/>
        <v/>
      </c>
      <c r="J278" s="11" t="str">
        <f t="shared" si="9"/>
        <v/>
      </c>
    </row>
    <row r="279" spans="1:10" x14ac:dyDescent="0.35">
      <c r="A279" s="6"/>
      <c r="B279" s="9"/>
      <c r="C279" s="6"/>
      <c r="D279" s="6"/>
      <c r="E279" s="6"/>
      <c r="F279" s="6"/>
      <c r="G279" s="6"/>
      <c r="H279" s="6"/>
      <c r="I279" s="11" t="str">
        <f t="shared" si="8"/>
        <v/>
      </c>
      <c r="J279" s="11" t="str">
        <f t="shared" si="9"/>
        <v/>
      </c>
    </row>
    <row r="280" spans="1:10" x14ac:dyDescent="0.35">
      <c r="A280" s="6"/>
      <c r="B280" s="9"/>
      <c r="C280" s="6"/>
      <c r="D280" s="6"/>
      <c r="E280" s="6"/>
      <c r="F280" s="6"/>
      <c r="G280" s="6"/>
      <c r="H280" s="6"/>
      <c r="I280" s="11" t="str">
        <f t="shared" si="8"/>
        <v/>
      </c>
      <c r="J280" s="11" t="str">
        <f t="shared" si="9"/>
        <v/>
      </c>
    </row>
    <row r="281" spans="1:10" x14ac:dyDescent="0.35">
      <c r="A281" s="6"/>
      <c r="B281" s="9"/>
      <c r="C281" s="6"/>
      <c r="D281" s="6"/>
      <c r="E281" s="6"/>
      <c r="F281" s="6"/>
      <c r="G281" s="6"/>
      <c r="H281" s="6"/>
      <c r="I281" s="11" t="str">
        <f t="shared" si="8"/>
        <v/>
      </c>
      <c r="J281" s="11" t="str">
        <f t="shared" si="9"/>
        <v/>
      </c>
    </row>
    <row r="282" spans="1:10" x14ac:dyDescent="0.35">
      <c r="A282" s="6"/>
      <c r="B282" s="9"/>
      <c r="C282" s="6"/>
      <c r="D282" s="6"/>
      <c r="E282" s="6"/>
      <c r="F282" s="6"/>
      <c r="G282" s="6"/>
      <c r="H282" s="6"/>
      <c r="I282" s="11" t="str">
        <f t="shared" si="8"/>
        <v/>
      </c>
      <c r="J282" s="11" t="str">
        <f t="shared" si="9"/>
        <v/>
      </c>
    </row>
    <row r="283" spans="1:10" x14ac:dyDescent="0.35">
      <c r="A283" s="6"/>
      <c r="B283" s="9"/>
      <c r="C283" s="6"/>
      <c r="D283" s="6"/>
      <c r="E283" s="6"/>
      <c r="F283" s="6"/>
      <c r="G283" s="6"/>
      <c r="H283" s="6"/>
      <c r="I283" s="11" t="str">
        <f t="shared" si="8"/>
        <v/>
      </c>
      <c r="J283" s="11" t="str">
        <f t="shared" si="9"/>
        <v/>
      </c>
    </row>
    <row r="284" spans="1:10" x14ac:dyDescent="0.35">
      <c r="A284" s="6"/>
      <c r="B284" s="9"/>
      <c r="C284" s="6"/>
      <c r="D284" s="6"/>
      <c r="E284" s="6"/>
      <c r="F284" s="6"/>
      <c r="G284" s="6"/>
      <c r="H284" s="6"/>
      <c r="I284" s="11" t="str">
        <f t="shared" si="8"/>
        <v/>
      </c>
      <c r="J284" s="11" t="str">
        <f t="shared" si="9"/>
        <v/>
      </c>
    </row>
    <row r="285" spans="1:10" x14ac:dyDescent="0.35">
      <c r="A285" s="6"/>
      <c r="B285" s="9"/>
      <c r="C285" s="6"/>
      <c r="D285" s="6"/>
      <c r="E285" s="6"/>
      <c r="F285" s="6"/>
      <c r="G285" s="6"/>
      <c r="H285" s="6"/>
      <c r="I285" s="11" t="str">
        <f t="shared" si="8"/>
        <v/>
      </c>
      <c r="J285" s="11" t="str">
        <f t="shared" si="9"/>
        <v/>
      </c>
    </row>
    <row r="286" spans="1:10" x14ac:dyDescent="0.35">
      <c r="A286" s="6"/>
      <c r="B286" s="9"/>
      <c r="C286" s="6"/>
      <c r="D286" s="6"/>
      <c r="E286" s="6"/>
      <c r="F286" s="6"/>
      <c r="G286" s="6"/>
      <c r="H286" s="6"/>
      <c r="I286" s="11" t="str">
        <f t="shared" si="8"/>
        <v/>
      </c>
      <c r="J286" s="11" t="str">
        <f t="shared" si="9"/>
        <v/>
      </c>
    </row>
    <row r="287" spans="1:10" x14ac:dyDescent="0.35">
      <c r="A287" s="6"/>
      <c r="B287" s="9"/>
      <c r="C287" s="6"/>
      <c r="D287" s="6"/>
      <c r="E287" s="6"/>
      <c r="F287" s="6"/>
      <c r="G287" s="6"/>
      <c r="H287" s="6"/>
      <c r="I287" s="11" t="str">
        <f t="shared" si="8"/>
        <v/>
      </c>
      <c r="J287" s="11" t="str">
        <f t="shared" si="9"/>
        <v/>
      </c>
    </row>
    <row r="288" spans="1:10" x14ac:dyDescent="0.35">
      <c r="A288" s="6"/>
      <c r="B288" s="9"/>
      <c r="C288" s="6"/>
      <c r="D288" s="6"/>
      <c r="E288" s="6"/>
      <c r="F288" s="6"/>
      <c r="G288" s="6"/>
      <c r="H288" s="6"/>
      <c r="I288" s="11" t="str">
        <f t="shared" si="8"/>
        <v/>
      </c>
      <c r="J288" s="11" t="str">
        <f t="shared" si="9"/>
        <v/>
      </c>
    </row>
    <row r="289" spans="1:10" x14ac:dyDescent="0.35">
      <c r="A289" s="6"/>
      <c r="B289" s="9"/>
      <c r="C289" s="6"/>
      <c r="D289" s="6"/>
      <c r="E289" s="6"/>
      <c r="F289" s="6"/>
      <c r="G289" s="6"/>
      <c r="H289" s="6"/>
      <c r="I289" s="11" t="str">
        <f t="shared" si="8"/>
        <v/>
      </c>
      <c r="J289" s="11" t="str">
        <f t="shared" si="9"/>
        <v/>
      </c>
    </row>
    <row r="290" spans="1:10" x14ac:dyDescent="0.35">
      <c r="A290" s="6"/>
      <c r="B290" s="9"/>
      <c r="C290" s="6"/>
      <c r="D290" s="6"/>
      <c r="E290" s="6"/>
      <c r="F290" s="6"/>
      <c r="G290" s="6"/>
      <c r="H290" s="6"/>
      <c r="I290" s="11" t="str">
        <f t="shared" si="8"/>
        <v/>
      </c>
      <c r="J290" s="11" t="str">
        <f t="shared" si="9"/>
        <v/>
      </c>
    </row>
    <row r="291" spans="1:10" x14ac:dyDescent="0.35">
      <c r="A291" s="6"/>
      <c r="B291" s="9"/>
      <c r="C291" s="6"/>
      <c r="D291" s="6"/>
      <c r="E291" s="6"/>
      <c r="F291" s="6"/>
      <c r="G291" s="6"/>
      <c r="H291" s="6"/>
      <c r="I291" s="11" t="str">
        <f t="shared" si="8"/>
        <v/>
      </c>
      <c r="J291" s="11" t="str">
        <f t="shared" si="9"/>
        <v/>
      </c>
    </row>
    <row r="292" spans="1:10" x14ac:dyDescent="0.35">
      <c r="A292" s="6"/>
      <c r="B292" s="9"/>
      <c r="C292" s="6"/>
      <c r="D292" s="6"/>
      <c r="E292" s="6"/>
      <c r="F292" s="6"/>
      <c r="G292" s="6"/>
      <c r="H292" s="6"/>
      <c r="I292" s="11" t="str">
        <f t="shared" si="8"/>
        <v/>
      </c>
      <c r="J292" s="11" t="str">
        <f t="shared" si="9"/>
        <v/>
      </c>
    </row>
    <row r="293" spans="1:10" x14ac:dyDescent="0.35">
      <c r="A293" s="6"/>
      <c r="B293" s="9"/>
      <c r="C293" s="6"/>
      <c r="D293" s="6"/>
      <c r="E293" s="6"/>
      <c r="F293" s="6"/>
      <c r="G293" s="6"/>
      <c r="H293" s="6"/>
      <c r="I293" s="11" t="str">
        <f t="shared" si="8"/>
        <v/>
      </c>
      <c r="J293" s="11" t="str">
        <f t="shared" si="9"/>
        <v/>
      </c>
    </row>
    <row r="294" spans="1:10" x14ac:dyDescent="0.35">
      <c r="A294" s="6"/>
      <c r="B294" s="9"/>
      <c r="C294" s="6"/>
      <c r="D294" s="6"/>
      <c r="E294" s="6"/>
      <c r="F294" s="6"/>
      <c r="G294" s="6"/>
      <c r="H294" s="6"/>
      <c r="I294" s="11" t="str">
        <f t="shared" si="8"/>
        <v/>
      </c>
      <c r="J294" s="11" t="str">
        <f t="shared" si="9"/>
        <v/>
      </c>
    </row>
    <row r="295" spans="1:10" x14ac:dyDescent="0.35">
      <c r="A295" s="6"/>
      <c r="B295" s="9"/>
      <c r="C295" s="6"/>
      <c r="D295" s="6"/>
      <c r="E295" s="6"/>
      <c r="F295" s="6"/>
      <c r="G295" s="6"/>
      <c r="H295" s="6"/>
      <c r="I295" s="11" t="str">
        <f t="shared" si="8"/>
        <v/>
      </c>
      <c r="J295" s="11" t="str">
        <f t="shared" si="9"/>
        <v/>
      </c>
    </row>
    <row r="296" spans="1:10" x14ac:dyDescent="0.35">
      <c r="A296" s="6"/>
      <c r="B296" s="9"/>
      <c r="C296" s="6"/>
      <c r="D296" s="6"/>
      <c r="E296" s="6"/>
      <c r="F296" s="6"/>
      <c r="G296" s="6"/>
      <c r="H296" s="6"/>
      <c r="I296" s="11" t="str">
        <f t="shared" si="8"/>
        <v/>
      </c>
      <c r="J296" s="11" t="str">
        <f t="shared" si="9"/>
        <v/>
      </c>
    </row>
    <row r="297" spans="1:10" x14ac:dyDescent="0.35">
      <c r="A297" s="6"/>
      <c r="B297" s="9"/>
      <c r="C297" s="6"/>
      <c r="D297" s="6"/>
      <c r="E297" s="6"/>
      <c r="F297" s="6"/>
      <c r="G297" s="6"/>
      <c r="H297" s="6"/>
      <c r="I297" s="11" t="str">
        <f t="shared" si="8"/>
        <v/>
      </c>
      <c r="J297" s="11" t="str">
        <f t="shared" si="9"/>
        <v/>
      </c>
    </row>
    <row r="298" spans="1:10" x14ac:dyDescent="0.35">
      <c r="A298" s="6"/>
      <c r="B298" s="9"/>
      <c r="C298" s="6"/>
      <c r="D298" s="6"/>
      <c r="E298" s="6"/>
      <c r="F298" s="6"/>
      <c r="G298" s="6"/>
      <c r="H298" s="6"/>
      <c r="I298" s="11" t="str">
        <f t="shared" si="8"/>
        <v/>
      </c>
      <c r="J298" s="11" t="str">
        <f t="shared" si="9"/>
        <v/>
      </c>
    </row>
    <row r="299" spans="1:10" x14ac:dyDescent="0.35">
      <c r="A299" s="6"/>
      <c r="B299" s="9"/>
      <c r="C299" s="6"/>
      <c r="D299" s="6"/>
      <c r="E299" s="6"/>
      <c r="F299" s="6"/>
      <c r="G299" s="6"/>
      <c r="H299" s="6"/>
      <c r="I299" s="11" t="str">
        <f t="shared" si="8"/>
        <v/>
      </c>
      <c r="J299" s="11" t="str">
        <f t="shared" si="9"/>
        <v/>
      </c>
    </row>
    <row r="300" spans="1:10" x14ac:dyDescent="0.35">
      <c r="A300" s="6"/>
      <c r="B300" s="9"/>
      <c r="C300" s="6"/>
      <c r="D300" s="6"/>
      <c r="E300" s="6"/>
      <c r="F300" s="6"/>
      <c r="G300" s="6"/>
      <c r="H300" s="6"/>
      <c r="I300" s="11" t="str">
        <f t="shared" si="8"/>
        <v/>
      </c>
      <c r="J300" s="11" t="str">
        <f t="shared" si="9"/>
        <v/>
      </c>
    </row>
    <row r="301" spans="1:10" x14ac:dyDescent="0.35">
      <c r="A301" s="6"/>
      <c r="B301" s="9"/>
      <c r="C301" s="6"/>
      <c r="D301" s="6"/>
      <c r="E301" s="6"/>
      <c r="F301" s="6"/>
      <c r="G301" s="6"/>
      <c r="H301" s="6"/>
      <c r="I301" s="11" t="str">
        <f t="shared" si="8"/>
        <v/>
      </c>
      <c r="J301" s="11" t="str">
        <f t="shared" si="9"/>
        <v/>
      </c>
    </row>
    <row r="302" spans="1:10" x14ac:dyDescent="0.35">
      <c r="A302" s="6"/>
      <c r="B302" s="9"/>
      <c r="C302" s="6"/>
      <c r="D302" s="6"/>
      <c r="E302" s="6"/>
      <c r="F302" s="6"/>
      <c r="G302" s="6"/>
      <c r="H302" s="6"/>
      <c r="I302" s="11" t="str">
        <f t="shared" si="8"/>
        <v/>
      </c>
      <c r="J302" s="11" t="str">
        <f t="shared" si="9"/>
        <v/>
      </c>
    </row>
    <row r="303" spans="1:10" x14ac:dyDescent="0.35">
      <c r="A303" s="6"/>
      <c r="B303" s="9"/>
      <c r="C303" s="6"/>
      <c r="D303" s="6"/>
      <c r="E303" s="6"/>
      <c r="F303" s="6"/>
      <c r="G303" s="6"/>
      <c r="H303" s="6"/>
      <c r="I303" s="11" t="str">
        <f t="shared" si="8"/>
        <v/>
      </c>
      <c r="J303" s="11" t="str">
        <f t="shared" si="9"/>
        <v/>
      </c>
    </row>
    <row r="304" spans="1:10" x14ac:dyDescent="0.35">
      <c r="A304" s="6"/>
      <c r="B304" s="9"/>
      <c r="C304" s="6"/>
      <c r="D304" s="6"/>
      <c r="E304" s="6"/>
      <c r="F304" s="6"/>
      <c r="G304" s="6"/>
      <c r="H304" s="6"/>
      <c r="I304" s="11" t="str">
        <f t="shared" si="8"/>
        <v/>
      </c>
      <c r="J304" s="11" t="str">
        <f t="shared" si="9"/>
        <v/>
      </c>
    </row>
    <row r="305" spans="1:10" x14ac:dyDescent="0.35">
      <c r="A305" s="6"/>
      <c r="B305" s="9"/>
      <c r="C305" s="6"/>
      <c r="D305" s="6"/>
      <c r="E305" s="6"/>
      <c r="F305" s="6"/>
      <c r="G305" s="6"/>
      <c r="H305" s="6"/>
      <c r="I305" s="11" t="str">
        <f t="shared" si="8"/>
        <v/>
      </c>
      <c r="J305" s="11" t="str">
        <f t="shared" si="9"/>
        <v/>
      </c>
    </row>
    <row r="306" spans="1:10" x14ac:dyDescent="0.35">
      <c r="A306" s="6"/>
      <c r="B306" s="9"/>
      <c r="C306" s="6"/>
      <c r="D306" s="6"/>
      <c r="E306" s="6"/>
      <c r="F306" s="6"/>
      <c r="G306" s="6"/>
      <c r="H306" s="6"/>
      <c r="I306" s="11" t="str">
        <f t="shared" si="8"/>
        <v/>
      </c>
      <c r="J306" s="11" t="str">
        <f t="shared" si="9"/>
        <v/>
      </c>
    </row>
    <row r="307" spans="1:10" x14ac:dyDescent="0.35">
      <c r="A307" s="6"/>
      <c r="B307" s="9"/>
      <c r="C307" s="6"/>
      <c r="D307" s="6"/>
      <c r="E307" s="6"/>
      <c r="F307" s="6"/>
      <c r="G307" s="6"/>
      <c r="H307" s="6"/>
      <c r="I307" s="11" t="str">
        <f t="shared" si="8"/>
        <v/>
      </c>
      <c r="J307" s="11" t="str">
        <f t="shared" si="9"/>
        <v/>
      </c>
    </row>
    <row r="308" spans="1:10" x14ac:dyDescent="0.35">
      <c r="A308" s="6"/>
      <c r="B308" s="9"/>
      <c r="C308" s="6"/>
      <c r="D308" s="6"/>
      <c r="E308" s="6"/>
      <c r="F308" s="6"/>
      <c r="G308" s="6"/>
      <c r="H308" s="6"/>
      <c r="I308" s="11" t="str">
        <f t="shared" si="8"/>
        <v/>
      </c>
      <c r="J308" s="11" t="str">
        <f t="shared" si="9"/>
        <v/>
      </c>
    </row>
    <row r="309" spans="1:10" x14ac:dyDescent="0.35">
      <c r="A309" s="6"/>
      <c r="B309" s="9"/>
      <c r="C309" s="6"/>
      <c r="D309" s="6"/>
      <c r="E309" s="6"/>
      <c r="F309" s="6"/>
      <c r="G309" s="6"/>
      <c r="H309" s="6"/>
      <c r="I309" s="11" t="str">
        <f t="shared" si="8"/>
        <v/>
      </c>
      <c r="J309" s="11" t="str">
        <f t="shared" si="9"/>
        <v/>
      </c>
    </row>
    <row r="310" spans="1:10" x14ac:dyDescent="0.35">
      <c r="A310" s="6"/>
      <c r="B310" s="9"/>
      <c r="C310" s="6"/>
      <c r="D310" s="6"/>
      <c r="E310" s="6"/>
      <c r="F310" s="6"/>
      <c r="G310" s="6"/>
      <c r="H310" s="6"/>
      <c r="I310" s="11" t="str">
        <f t="shared" si="8"/>
        <v/>
      </c>
      <c r="J310" s="11" t="str">
        <f t="shared" si="9"/>
        <v/>
      </c>
    </row>
    <row r="311" spans="1:10" x14ac:dyDescent="0.35">
      <c r="A311" s="6"/>
      <c r="B311" s="9"/>
      <c r="C311" s="6"/>
      <c r="D311" s="6"/>
      <c r="E311" s="6"/>
      <c r="F311" s="6"/>
      <c r="G311" s="6"/>
      <c r="H311" s="6"/>
      <c r="I311" s="11" t="str">
        <f t="shared" si="8"/>
        <v/>
      </c>
      <c r="J311" s="11" t="str">
        <f t="shared" si="9"/>
        <v/>
      </c>
    </row>
    <row r="312" spans="1:10" x14ac:dyDescent="0.35">
      <c r="A312" s="6"/>
      <c r="B312" s="9"/>
      <c r="C312" s="6"/>
      <c r="D312" s="6"/>
      <c r="E312" s="6"/>
      <c r="F312" s="6"/>
      <c r="G312" s="6"/>
      <c r="H312" s="6"/>
      <c r="I312" s="11" t="str">
        <f t="shared" si="8"/>
        <v/>
      </c>
      <c r="J312" s="11" t="str">
        <f t="shared" si="9"/>
        <v/>
      </c>
    </row>
    <row r="313" spans="1:10" x14ac:dyDescent="0.35">
      <c r="A313" s="6"/>
      <c r="B313" s="9"/>
      <c r="C313" s="6"/>
      <c r="D313" s="6"/>
      <c r="E313" s="6"/>
      <c r="F313" s="6"/>
      <c r="G313" s="6"/>
      <c r="H313" s="6"/>
      <c r="I313" s="11" t="str">
        <f t="shared" si="8"/>
        <v/>
      </c>
      <c r="J313" s="11" t="str">
        <f t="shared" si="9"/>
        <v/>
      </c>
    </row>
    <row r="314" spans="1:10" x14ac:dyDescent="0.35">
      <c r="A314" s="6"/>
      <c r="B314" s="9"/>
      <c r="C314" s="6"/>
      <c r="D314" s="6"/>
      <c r="E314" s="6"/>
      <c r="F314" s="6"/>
      <c r="G314" s="6"/>
      <c r="H314" s="6"/>
      <c r="I314" s="11" t="str">
        <f t="shared" si="8"/>
        <v/>
      </c>
      <c r="J314" s="11" t="str">
        <f t="shared" si="9"/>
        <v/>
      </c>
    </row>
    <row r="315" spans="1:10" x14ac:dyDescent="0.35">
      <c r="A315" s="6"/>
      <c r="B315" s="9"/>
      <c r="C315" s="6"/>
      <c r="D315" s="6"/>
      <c r="E315" s="6"/>
      <c r="F315" s="6"/>
      <c r="G315" s="6"/>
      <c r="H315" s="6"/>
      <c r="I315" s="11" t="str">
        <f t="shared" si="8"/>
        <v/>
      </c>
      <c r="J315" s="11" t="str">
        <f t="shared" si="9"/>
        <v/>
      </c>
    </row>
    <row r="316" spans="1:10" x14ac:dyDescent="0.35">
      <c r="A316" s="6"/>
      <c r="B316" s="9"/>
      <c r="C316" s="6"/>
      <c r="D316" s="6"/>
      <c r="E316" s="6"/>
      <c r="F316" s="6"/>
      <c r="G316" s="6"/>
      <c r="H316" s="6"/>
      <c r="I316" s="11" t="str">
        <f t="shared" si="8"/>
        <v/>
      </c>
      <c r="J316" s="11" t="str">
        <f t="shared" si="9"/>
        <v/>
      </c>
    </row>
    <row r="317" spans="1:10" x14ac:dyDescent="0.35">
      <c r="A317" s="6"/>
      <c r="B317" s="9"/>
      <c r="C317" s="6"/>
      <c r="D317" s="6"/>
      <c r="E317" s="6"/>
      <c r="F317" s="6"/>
      <c r="G317" s="6"/>
      <c r="H317" s="6"/>
      <c r="I317" s="11" t="str">
        <f t="shared" si="8"/>
        <v/>
      </c>
      <c r="J317" s="11" t="str">
        <f t="shared" si="9"/>
        <v/>
      </c>
    </row>
    <row r="318" spans="1:10" x14ac:dyDescent="0.35">
      <c r="A318" s="6"/>
      <c r="B318" s="9"/>
      <c r="C318" s="6"/>
      <c r="D318" s="6"/>
      <c r="E318" s="6"/>
      <c r="F318" s="6"/>
      <c r="G318" s="6"/>
      <c r="H318" s="6"/>
      <c r="I318" s="11" t="str">
        <f t="shared" si="8"/>
        <v/>
      </c>
      <c r="J318" s="11" t="str">
        <f t="shared" si="9"/>
        <v/>
      </c>
    </row>
    <row r="319" spans="1:10" x14ac:dyDescent="0.35">
      <c r="A319" s="6"/>
      <c r="B319" s="9"/>
      <c r="C319" s="6"/>
      <c r="D319" s="6"/>
      <c r="E319" s="6"/>
      <c r="F319" s="6"/>
      <c r="G319" s="6"/>
      <c r="H319" s="6"/>
      <c r="I319" s="11" t="str">
        <f t="shared" si="8"/>
        <v/>
      </c>
      <c r="J319" s="11" t="str">
        <f t="shared" si="9"/>
        <v/>
      </c>
    </row>
    <row r="320" spans="1:10" x14ac:dyDescent="0.35">
      <c r="A320" s="6"/>
      <c r="B320" s="9"/>
      <c r="C320" s="6"/>
      <c r="D320" s="6"/>
      <c r="E320" s="6"/>
      <c r="F320" s="6"/>
      <c r="G320" s="6"/>
      <c r="H320" s="6"/>
      <c r="I320" s="11" t="str">
        <f t="shared" si="8"/>
        <v/>
      </c>
      <c r="J320" s="11" t="str">
        <f t="shared" si="9"/>
        <v/>
      </c>
    </row>
    <row r="321" spans="1:10" x14ac:dyDescent="0.35">
      <c r="A321" s="6"/>
      <c r="B321" s="9"/>
      <c r="C321" s="6"/>
      <c r="D321" s="6"/>
      <c r="E321" s="6"/>
      <c r="F321" s="6"/>
      <c r="G321" s="6"/>
      <c r="H321" s="6"/>
      <c r="I321" s="11" t="str">
        <f t="shared" si="8"/>
        <v/>
      </c>
      <c r="J321" s="11" t="str">
        <f t="shared" si="9"/>
        <v/>
      </c>
    </row>
    <row r="322" spans="1:10" x14ac:dyDescent="0.35">
      <c r="A322" s="6"/>
      <c r="B322" s="9"/>
      <c r="C322" s="6"/>
      <c r="D322" s="6"/>
      <c r="E322" s="6"/>
      <c r="F322" s="6"/>
      <c r="G322" s="6"/>
      <c r="H322" s="6"/>
      <c r="I322" s="11" t="str">
        <f t="shared" si="8"/>
        <v/>
      </c>
      <c r="J322" s="11" t="str">
        <f t="shared" si="9"/>
        <v/>
      </c>
    </row>
    <row r="323" spans="1:10" x14ac:dyDescent="0.35">
      <c r="A323" s="6"/>
      <c r="B323" s="9"/>
      <c r="C323" s="6"/>
      <c r="D323" s="6"/>
      <c r="E323" s="6"/>
      <c r="F323" s="6"/>
      <c r="G323" s="6"/>
      <c r="H323" s="6"/>
      <c r="I323" s="11" t="str">
        <f t="shared" si="8"/>
        <v/>
      </c>
      <c r="J323" s="11" t="str">
        <f t="shared" si="9"/>
        <v/>
      </c>
    </row>
    <row r="324" spans="1:10" x14ac:dyDescent="0.35">
      <c r="A324" s="6"/>
      <c r="B324" s="9"/>
      <c r="C324" s="6"/>
      <c r="D324" s="6"/>
      <c r="E324" s="6"/>
      <c r="F324" s="6"/>
      <c r="G324" s="6"/>
      <c r="H324" s="6"/>
      <c r="I324" s="11" t="str">
        <f t="shared" ref="I324:I387" si="10">IF(A324="","",IF(OR(B324="",C324="",D324="",E324="",F324="",G324=""),"MISSING FIELD","ENTERED"))</f>
        <v/>
      </c>
      <c r="J324" s="11" t="str">
        <f t="shared" ref="J324:J387" si="11">IF(A324="","",IF(OR(F324="",NOT(ISNUMBER(F324))),"CHECK HOURS",IF(F324&gt;16,"REVIEW","OK")))</f>
        <v/>
      </c>
    </row>
    <row r="325" spans="1:10" x14ac:dyDescent="0.35">
      <c r="A325" s="6"/>
      <c r="B325" s="9"/>
      <c r="C325" s="6"/>
      <c r="D325" s="6"/>
      <c r="E325" s="6"/>
      <c r="F325" s="6"/>
      <c r="G325" s="6"/>
      <c r="H325" s="6"/>
      <c r="I325" s="11" t="str">
        <f t="shared" si="10"/>
        <v/>
      </c>
      <c r="J325" s="11" t="str">
        <f t="shared" si="11"/>
        <v/>
      </c>
    </row>
    <row r="326" spans="1:10" x14ac:dyDescent="0.35">
      <c r="A326" s="6"/>
      <c r="B326" s="9"/>
      <c r="C326" s="6"/>
      <c r="D326" s="6"/>
      <c r="E326" s="6"/>
      <c r="F326" s="6"/>
      <c r="G326" s="6"/>
      <c r="H326" s="6"/>
      <c r="I326" s="11" t="str">
        <f t="shared" si="10"/>
        <v/>
      </c>
      <c r="J326" s="11" t="str">
        <f t="shared" si="11"/>
        <v/>
      </c>
    </row>
    <row r="327" spans="1:10" x14ac:dyDescent="0.35">
      <c r="A327" s="6"/>
      <c r="B327" s="9"/>
      <c r="C327" s="6"/>
      <c r="D327" s="6"/>
      <c r="E327" s="6"/>
      <c r="F327" s="6"/>
      <c r="G327" s="6"/>
      <c r="H327" s="6"/>
      <c r="I327" s="11" t="str">
        <f t="shared" si="10"/>
        <v/>
      </c>
      <c r="J327" s="11" t="str">
        <f t="shared" si="11"/>
        <v/>
      </c>
    </row>
    <row r="328" spans="1:10" x14ac:dyDescent="0.35">
      <c r="A328" s="6"/>
      <c r="B328" s="9"/>
      <c r="C328" s="6"/>
      <c r="D328" s="6"/>
      <c r="E328" s="6"/>
      <c r="F328" s="6"/>
      <c r="G328" s="6"/>
      <c r="H328" s="6"/>
      <c r="I328" s="11" t="str">
        <f t="shared" si="10"/>
        <v/>
      </c>
      <c r="J328" s="11" t="str">
        <f t="shared" si="11"/>
        <v/>
      </c>
    </row>
    <row r="329" spans="1:10" x14ac:dyDescent="0.35">
      <c r="A329" s="6"/>
      <c r="B329" s="9"/>
      <c r="C329" s="6"/>
      <c r="D329" s="6"/>
      <c r="E329" s="6"/>
      <c r="F329" s="6"/>
      <c r="G329" s="6"/>
      <c r="H329" s="6"/>
      <c r="I329" s="11" t="str">
        <f t="shared" si="10"/>
        <v/>
      </c>
      <c r="J329" s="11" t="str">
        <f t="shared" si="11"/>
        <v/>
      </c>
    </row>
    <row r="330" spans="1:10" x14ac:dyDescent="0.35">
      <c r="A330" s="6"/>
      <c r="B330" s="9"/>
      <c r="C330" s="6"/>
      <c r="D330" s="6"/>
      <c r="E330" s="6"/>
      <c r="F330" s="6"/>
      <c r="G330" s="6"/>
      <c r="H330" s="6"/>
      <c r="I330" s="11" t="str">
        <f t="shared" si="10"/>
        <v/>
      </c>
      <c r="J330" s="11" t="str">
        <f t="shared" si="11"/>
        <v/>
      </c>
    </row>
    <row r="331" spans="1:10" x14ac:dyDescent="0.35">
      <c r="A331" s="6"/>
      <c r="B331" s="9"/>
      <c r="C331" s="6"/>
      <c r="D331" s="6"/>
      <c r="E331" s="6"/>
      <c r="F331" s="6"/>
      <c r="G331" s="6"/>
      <c r="H331" s="6"/>
      <c r="I331" s="11" t="str">
        <f t="shared" si="10"/>
        <v/>
      </c>
      <c r="J331" s="11" t="str">
        <f t="shared" si="11"/>
        <v/>
      </c>
    </row>
    <row r="332" spans="1:10" x14ac:dyDescent="0.35">
      <c r="A332" s="6"/>
      <c r="B332" s="9"/>
      <c r="C332" s="6"/>
      <c r="D332" s="6"/>
      <c r="E332" s="6"/>
      <c r="F332" s="6"/>
      <c r="G332" s="6"/>
      <c r="H332" s="6"/>
      <c r="I332" s="11" t="str">
        <f t="shared" si="10"/>
        <v/>
      </c>
      <c r="J332" s="11" t="str">
        <f t="shared" si="11"/>
        <v/>
      </c>
    </row>
    <row r="333" spans="1:10" x14ac:dyDescent="0.35">
      <c r="A333" s="6"/>
      <c r="B333" s="9"/>
      <c r="C333" s="6"/>
      <c r="D333" s="6"/>
      <c r="E333" s="6"/>
      <c r="F333" s="6"/>
      <c r="G333" s="6"/>
      <c r="H333" s="6"/>
      <c r="I333" s="11" t="str">
        <f t="shared" si="10"/>
        <v/>
      </c>
      <c r="J333" s="11" t="str">
        <f t="shared" si="11"/>
        <v/>
      </c>
    </row>
    <row r="334" spans="1:10" x14ac:dyDescent="0.35">
      <c r="A334" s="6"/>
      <c r="B334" s="9"/>
      <c r="C334" s="6"/>
      <c r="D334" s="6"/>
      <c r="E334" s="6"/>
      <c r="F334" s="6"/>
      <c r="G334" s="6"/>
      <c r="H334" s="6"/>
      <c r="I334" s="11" t="str">
        <f t="shared" si="10"/>
        <v/>
      </c>
      <c r="J334" s="11" t="str">
        <f t="shared" si="11"/>
        <v/>
      </c>
    </row>
    <row r="335" spans="1:10" x14ac:dyDescent="0.35">
      <c r="A335" s="6"/>
      <c r="B335" s="9"/>
      <c r="C335" s="6"/>
      <c r="D335" s="6"/>
      <c r="E335" s="6"/>
      <c r="F335" s="6"/>
      <c r="G335" s="6"/>
      <c r="H335" s="6"/>
      <c r="I335" s="11" t="str">
        <f t="shared" si="10"/>
        <v/>
      </c>
      <c r="J335" s="11" t="str">
        <f t="shared" si="11"/>
        <v/>
      </c>
    </row>
    <row r="336" spans="1:10" x14ac:dyDescent="0.35">
      <c r="A336" s="6"/>
      <c r="B336" s="9"/>
      <c r="C336" s="6"/>
      <c r="D336" s="6"/>
      <c r="E336" s="6"/>
      <c r="F336" s="6"/>
      <c r="G336" s="6"/>
      <c r="H336" s="6"/>
      <c r="I336" s="11" t="str">
        <f t="shared" si="10"/>
        <v/>
      </c>
      <c r="J336" s="11" t="str">
        <f t="shared" si="11"/>
        <v/>
      </c>
    </row>
    <row r="337" spans="1:10" x14ac:dyDescent="0.35">
      <c r="A337" s="6"/>
      <c r="B337" s="9"/>
      <c r="C337" s="6"/>
      <c r="D337" s="6"/>
      <c r="E337" s="6"/>
      <c r="F337" s="6"/>
      <c r="G337" s="6"/>
      <c r="H337" s="6"/>
      <c r="I337" s="11" t="str">
        <f t="shared" si="10"/>
        <v/>
      </c>
      <c r="J337" s="11" t="str">
        <f t="shared" si="11"/>
        <v/>
      </c>
    </row>
    <row r="338" spans="1:10" x14ac:dyDescent="0.35">
      <c r="A338" s="6"/>
      <c r="B338" s="9"/>
      <c r="C338" s="6"/>
      <c r="D338" s="6"/>
      <c r="E338" s="6"/>
      <c r="F338" s="6"/>
      <c r="G338" s="6"/>
      <c r="H338" s="6"/>
      <c r="I338" s="11" t="str">
        <f t="shared" si="10"/>
        <v/>
      </c>
      <c r="J338" s="11" t="str">
        <f t="shared" si="11"/>
        <v/>
      </c>
    </row>
    <row r="339" spans="1:10" x14ac:dyDescent="0.35">
      <c r="A339" s="6"/>
      <c r="B339" s="9"/>
      <c r="C339" s="6"/>
      <c r="D339" s="6"/>
      <c r="E339" s="6"/>
      <c r="F339" s="6"/>
      <c r="G339" s="6"/>
      <c r="H339" s="6"/>
      <c r="I339" s="11" t="str">
        <f t="shared" si="10"/>
        <v/>
      </c>
      <c r="J339" s="11" t="str">
        <f t="shared" si="11"/>
        <v/>
      </c>
    </row>
    <row r="340" spans="1:10" x14ac:dyDescent="0.35">
      <c r="A340" s="6"/>
      <c r="B340" s="9"/>
      <c r="C340" s="6"/>
      <c r="D340" s="6"/>
      <c r="E340" s="6"/>
      <c r="F340" s="6"/>
      <c r="G340" s="6"/>
      <c r="H340" s="6"/>
      <c r="I340" s="11" t="str">
        <f t="shared" si="10"/>
        <v/>
      </c>
      <c r="J340" s="11" t="str">
        <f t="shared" si="11"/>
        <v/>
      </c>
    </row>
    <row r="341" spans="1:10" x14ac:dyDescent="0.35">
      <c r="A341" s="6"/>
      <c r="B341" s="9"/>
      <c r="C341" s="6"/>
      <c r="D341" s="6"/>
      <c r="E341" s="6"/>
      <c r="F341" s="6"/>
      <c r="G341" s="6"/>
      <c r="H341" s="6"/>
      <c r="I341" s="11" t="str">
        <f t="shared" si="10"/>
        <v/>
      </c>
      <c r="J341" s="11" t="str">
        <f t="shared" si="11"/>
        <v/>
      </c>
    </row>
    <row r="342" spans="1:10" x14ac:dyDescent="0.35">
      <c r="A342" s="6"/>
      <c r="B342" s="9"/>
      <c r="C342" s="6"/>
      <c r="D342" s="6"/>
      <c r="E342" s="6"/>
      <c r="F342" s="6"/>
      <c r="G342" s="6"/>
      <c r="H342" s="6"/>
      <c r="I342" s="11" t="str">
        <f t="shared" si="10"/>
        <v/>
      </c>
      <c r="J342" s="11" t="str">
        <f t="shared" si="11"/>
        <v/>
      </c>
    </row>
    <row r="343" spans="1:10" x14ac:dyDescent="0.35">
      <c r="A343" s="6"/>
      <c r="B343" s="9"/>
      <c r="C343" s="6"/>
      <c r="D343" s="6"/>
      <c r="E343" s="6"/>
      <c r="F343" s="6"/>
      <c r="G343" s="6"/>
      <c r="H343" s="6"/>
      <c r="I343" s="11" t="str">
        <f t="shared" si="10"/>
        <v/>
      </c>
      <c r="J343" s="11" t="str">
        <f t="shared" si="11"/>
        <v/>
      </c>
    </row>
    <row r="344" spans="1:10" x14ac:dyDescent="0.35">
      <c r="A344" s="6"/>
      <c r="B344" s="9"/>
      <c r="C344" s="6"/>
      <c r="D344" s="6"/>
      <c r="E344" s="6"/>
      <c r="F344" s="6"/>
      <c r="G344" s="6"/>
      <c r="H344" s="6"/>
      <c r="I344" s="11" t="str">
        <f t="shared" si="10"/>
        <v/>
      </c>
      <c r="J344" s="11" t="str">
        <f t="shared" si="11"/>
        <v/>
      </c>
    </row>
    <row r="345" spans="1:10" x14ac:dyDescent="0.35">
      <c r="A345" s="6"/>
      <c r="B345" s="9"/>
      <c r="C345" s="6"/>
      <c r="D345" s="6"/>
      <c r="E345" s="6"/>
      <c r="F345" s="6"/>
      <c r="G345" s="6"/>
      <c r="H345" s="6"/>
      <c r="I345" s="11" t="str">
        <f t="shared" si="10"/>
        <v/>
      </c>
      <c r="J345" s="11" t="str">
        <f t="shared" si="11"/>
        <v/>
      </c>
    </row>
    <row r="346" spans="1:10" x14ac:dyDescent="0.35">
      <c r="A346" s="6"/>
      <c r="B346" s="9"/>
      <c r="C346" s="6"/>
      <c r="D346" s="6"/>
      <c r="E346" s="6"/>
      <c r="F346" s="6"/>
      <c r="G346" s="6"/>
      <c r="H346" s="6"/>
      <c r="I346" s="11" t="str">
        <f t="shared" si="10"/>
        <v/>
      </c>
      <c r="J346" s="11" t="str">
        <f t="shared" si="11"/>
        <v/>
      </c>
    </row>
    <row r="347" spans="1:10" x14ac:dyDescent="0.35">
      <c r="A347" s="6"/>
      <c r="B347" s="9"/>
      <c r="C347" s="6"/>
      <c r="D347" s="6"/>
      <c r="E347" s="6"/>
      <c r="F347" s="6"/>
      <c r="G347" s="6"/>
      <c r="H347" s="6"/>
      <c r="I347" s="11" t="str">
        <f t="shared" si="10"/>
        <v/>
      </c>
      <c r="J347" s="11" t="str">
        <f t="shared" si="11"/>
        <v/>
      </c>
    </row>
    <row r="348" spans="1:10" x14ac:dyDescent="0.35">
      <c r="A348" s="6"/>
      <c r="B348" s="9"/>
      <c r="C348" s="6"/>
      <c r="D348" s="6"/>
      <c r="E348" s="6"/>
      <c r="F348" s="6"/>
      <c r="G348" s="6"/>
      <c r="H348" s="6"/>
      <c r="I348" s="11" t="str">
        <f t="shared" si="10"/>
        <v/>
      </c>
      <c r="J348" s="11" t="str">
        <f t="shared" si="11"/>
        <v/>
      </c>
    </row>
    <row r="349" spans="1:10" x14ac:dyDescent="0.35">
      <c r="A349" s="6"/>
      <c r="B349" s="9"/>
      <c r="C349" s="6"/>
      <c r="D349" s="6"/>
      <c r="E349" s="6"/>
      <c r="F349" s="6"/>
      <c r="G349" s="6"/>
      <c r="H349" s="6"/>
      <c r="I349" s="11" t="str">
        <f t="shared" si="10"/>
        <v/>
      </c>
      <c r="J349" s="11" t="str">
        <f t="shared" si="11"/>
        <v/>
      </c>
    </row>
    <row r="350" spans="1:10" x14ac:dyDescent="0.35">
      <c r="A350" s="6"/>
      <c r="B350" s="9"/>
      <c r="C350" s="6"/>
      <c r="D350" s="6"/>
      <c r="E350" s="6"/>
      <c r="F350" s="6"/>
      <c r="G350" s="6"/>
      <c r="H350" s="6"/>
      <c r="I350" s="11" t="str">
        <f t="shared" si="10"/>
        <v/>
      </c>
      <c r="J350" s="11" t="str">
        <f t="shared" si="11"/>
        <v/>
      </c>
    </row>
    <row r="351" spans="1:10" x14ac:dyDescent="0.35">
      <c r="A351" s="6"/>
      <c r="B351" s="9"/>
      <c r="C351" s="6"/>
      <c r="D351" s="6"/>
      <c r="E351" s="6"/>
      <c r="F351" s="6"/>
      <c r="G351" s="6"/>
      <c r="H351" s="6"/>
      <c r="I351" s="11" t="str">
        <f t="shared" si="10"/>
        <v/>
      </c>
      <c r="J351" s="11" t="str">
        <f t="shared" si="11"/>
        <v/>
      </c>
    </row>
    <row r="352" spans="1:10" x14ac:dyDescent="0.35">
      <c r="A352" s="6"/>
      <c r="B352" s="9"/>
      <c r="C352" s="6"/>
      <c r="D352" s="6"/>
      <c r="E352" s="6"/>
      <c r="F352" s="6"/>
      <c r="G352" s="6"/>
      <c r="H352" s="6"/>
      <c r="I352" s="11" t="str">
        <f t="shared" si="10"/>
        <v/>
      </c>
      <c r="J352" s="11" t="str">
        <f t="shared" si="11"/>
        <v/>
      </c>
    </row>
    <row r="353" spans="1:10" x14ac:dyDescent="0.35">
      <c r="A353" s="6"/>
      <c r="B353" s="9"/>
      <c r="C353" s="6"/>
      <c r="D353" s="6"/>
      <c r="E353" s="6"/>
      <c r="F353" s="6"/>
      <c r="G353" s="6"/>
      <c r="H353" s="6"/>
      <c r="I353" s="11" t="str">
        <f t="shared" si="10"/>
        <v/>
      </c>
      <c r="J353" s="11" t="str">
        <f t="shared" si="11"/>
        <v/>
      </c>
    </row>
    <row r="354" spans="1:10" x14ac:dyDescent="0.35">
      <c r="A354" s="6"/>
      <c r="B354" s="9"/>
      <c r="C354" s="6"/>
      <c r="D354" s="6"/>
      <c r="E354" s="6"/>
      <c r="F354" s="6"/>
      <c r="G354" s="6"/>
      <c r="H354" s="6"/>
      <c r="I354" s="11" t="str">
        <f t="shared" si="10"/>
        <v/>
      </c>
      <c r="J354" s="11" t="str">
        <f t="shared" si="11"/>
        <v/>
      </c>
    </row>
    <row r="355" spans="1:10" x14ac:dyDescent="0.35">
      <c r="A355" s="6"/>
      <c r="B355" s="9"/>
      <c r="C355" s="6"/>
      <c r="D355" s="6"/>
      <c r="E355" s="6"/>
      <c r="F355" s="6"/>
      <c r="G355" s="6"/>
      <c r="H355" s="6"/>
      <c r="I355" s="11" t="str">
        <f t="shared" si="10"/>
        <v/>
      </c>
      <c r="J355" s="11" t="str">
        <f t="shared" si="11"/>
        <v/>
      </c>
    </row>
    <row r="356" spans="1:10" x14ac:dyDescent="0.35">
      <c r="A356" s="6"/>
      <c r="B356" s="9"/>
      <c r="C356" s="6"/>
      <c r="D356" s="6"/>
      <c r="E356" s="6"/>
      <c r="F356" s="6"/>
      <c r="G356" s="6"/>
      <c r="H356" s="6"/>
      <c r="I356" s="11" t="str">
        <f t="shared" si="10"/>
        <v/>
      </c>
      <c r="J356" s="11" t="str">
        <f t="shared" si="11"/>
        <v/>
      </c>
    </row>
    <row r="357" spans="1:10" x14ac:dyDescent="0.35">
      <c r="A357" s="6"/>
      <c r="B357" s="9"/>
      <c r="C357" s="6"/>
      <c r="D357" s="6"/>
      <c r="E357" s="6"/>
      <c r="F357" s="6"/>
      <c r="G357" s="6"/>
      <c r="H357" s="6"/>
      <c r="I357" s="11" t="str">
        <f t="shared" si="10"/>
        <v/>
      </c>
      <c r="J357" s="11" t="str">
        <f t="shared" si="11"/>
        <v/>
      </c>
    </row>
    <row r="358" spans="1:10" x14ac:dyDescent="0.35">
      <c r="A358" s="6"/>
      <c r="B358" s="9"/>
      <c r="C358" s="6"/>
      <c r="D358" s="6"/>
      <c r="E358" s="6"/>
      <c r="F358" s="6"/>
      <c r="G358" s="6"/>
      <c r="H358" s="6"/>
      <c r="I358" s="11" t="str">
        <f t="shared" si="10"/>
        <v/>
      </c>
      <c r="J358" s="11" t="str">
        <f t="shared" si="11"/>
        <v/>
      </c>
    </row>
    <row r="359" spans="1:10" x14ac:dyDescent="0.35">
      <c r="A359" s="6"/>
      <c r="B359" s="9"/>
      <c r="C359" s="6"/>
      <c r="D359" s="6"/>
      <c r="E359" s="6"/>
      <c r="F359" s="6"/>
      <c r="G359" s="6"/>
      <c r="H359" s="6"/>
      <c r="I359" s="11" t="str">
        <f t="shared" si="10"/>
        <v/>
      </c>
      <c r="J359" s="11" t="str">
        <f t="shared" si="11"/>
        <v/>
      </c>
    </row>
    <row r="360" spans="1:10" x14ac:dyDescent="0.35">
      <c r="A360" s="6"/>
      <c r="B360" s="9"/>
      <c r="C360" s="6"/>
      <c r="D360" s="6"/>
      <c r="E360" s="6"/>
      <c r="F360" s="6"/>
      <c r="G360" s="6"/>
      <c r="H360" s="6"/>
      <c r="I360" s="11" t="str">
        <f t="shared" si="10"/>
        <v/>
      </c>
      <c r="J360" s="11" t="str">
        <f t="shared" si="11"/>
        <v/>
      </c>
    </row>
    <row r="361" spans="1:10" x14ac:dyDescent="0.35">
      <c r="A361" s="6"/>
      <c r="B361" s="9"/>
      <c r="C361" s="6"/>
      <c r="D361" s="6"/>
      <c r="E361" s="6"/>
      <c r="F361" s="6"/>
      <c r="G361" s="6"/>
      <c r="H361" s="6"/>
      <c r="I361" s="11" t="str">
        <f t="shared" si="10"/>
        <v/>
      </c>
      <c r="J361" s="11" t="str">
        <f t="shared" si="11"/>
        <v/>
      </c>
    </row>
    <row r="362" spans="1:10" x14ac:dyDescent="0.35">
      <c r="A362" s="6"/>
      <c r="B362" s="9"/>
      <c r="C362" s="6"/>
      <c r="D362" s="6"/>
      <c r="E362" s="6"/>
      <c r="F362" s="6"/>
      <c r="G362" s="6"/>
      <c r="H362" s="6"/>
      <c r="I362" s="11" t="str">
        <f t="shared" si="10"/>
        <v/>
      </c>
      <c r="J362" s="11" t="str">
        <f t="shared" si="11"/>
        <v/>
      </c>
    </row>
    <row r="363" spans="1:10" x14ac:dyDescent="0.35">
      <c r="A363" s="6"/>
      <c r="B363" s="9"/>
      <c r="C363" s="6"/>
      <c r="D363" s="6"/>
      <c r="E363" s="6"/>
      <c r="F363" s="6"/>
      <c r="G363" s="6"/>
      <c r="H363" s="6"/>
      <c r="I363" s="11" t="str">
        <f t="shared" si="10"/>
        <v/>
      </c>
      <c r="J363" s="11" t="str">
        <f t="shared" si="11"/>
        <v/>
      </c>
    </row>
    <row r="364" spans="1:10" x14ac:dyDescent="0.35">
      <c r="A364" s="6"/>
      <c r="B364" s="9"/>
      <c r="C364" s="6"/>
      <c r="D364" s="6"/>
      <c r="E364" s="6"/>
      <c r="F364" s="6"/>
      <c r="G364" s="6"/>
      <c r="H364" s="6"/>
      <c r="I364" s="11" t="str">
        <f t="shared" si="10"/>
        <v/>
      </c>
      <c r="J364" s="11" t="str">
        <f t="shared" si="11"/>
        <v/>
      </c>
    </row>
    <row r="365" spans="1:10" x14ac:dyDescent="0.35">
      <c r="A365" s="6"/>
      <c r="B365" s="9"/>
      <c r="C365" s="6"/>
      <c r="D365" s="6"/>
      <c r="E365" s="6"/>
      <c r="F365" s="6"/>
      <c r="G365" s="6"/>
      <c r="H365" s="6"/>
      <c r="I365" s="11" t="str">
        <f t="shared" si="10"/>
        <v/>
      </c>
      <c r="J365" s="11" t="str">
        <f t="shared" si="11"/>
        <v/>
      </c>
    </row>
    <row r="366" spans="1:10" x14ac:dyDescent="0.35">
      <c r="A366" s="6"/>
      <c r="B366" s="9"/>
      <c r="C366" s="6"/>
      <c r="D366" s="6"/>
      <c r="E366" s="6"/>
      <c r="F366" s="6"/>
      <c r="G366" s="6"/>
      <c r="H366" s="6"/>
      <c r="I366" s="11" t="str">
        <f t="shared" si="10"/>
        <v/>
      </c>
      <c r="J366" s="11" t="str">
        <f t="shared" si="11"/>
        <v/>
      </c>
    </row>
    <row r="367" spans="1:10" x14ac:dyDescent="0.35">
      <c r="A367" s="6"/>
      <c r="B367" s="9"/>
      <c r="C367" s="6"/>
      <c r="D367" s="6"/>
      <c r="E367" s="6"/>
      <c r="F367" s="6"/>
      <c r="G367" s="6"/>
      <c r="H367" s="6"/>
      <c r="I367" s="11" t="str">
        <f t="shared" si="10"/>
        <v/>
      </c>
      <c r="J367" s="11" t="str">
        <f t="shared" si="11"/>
        <v/>
      </c>
    </row>
    <row r="368" spans="1:10" x14ac:dyDescent="0.35">
      <c r="A368" s="6"/>
      <c r="B368" s="9"/>
      <c r="C368" s="6"/>
      <c r="D368" s="6"/>
      <c r="E368" s="6"/>
      <c r="F368" s="6"/>
      <c r="G368" s="6"/>
      <c r="H368" s="6"/>
      <c r="I368" s="11" t="str">
        <f t="shared" si="10"/>
        <v/>
      </c>
      <c r="J368" s="11" t="str">
        <f t="shared" si="11"/>
        <v/>
      </c>
    </row>
    <row r="369" spans="1:10" x14ac:dyDescent="0.35">
      <c r="A369" s="6"/>
      <c r="B369" s="9"/>
      <c r="C369" s="6"/>
      <c r="D369" s="6"/>
      <c r="E369" s="6"/>
      <c r="F369" s="6"/>
      <c r="G369" s="6"/>
      <c r="H369" s="6"/>
      <c r="I369" s="11" t="str">
        <f t="shared" si="10"/>
        <v/>
      </c>
      <c r="J369" s="11" t="str">
        <f t="shared" si="11"/>
        <v/>
      </c>
    </row>
    <row r="370" spans="1:10" x14ac:dyDescent="0.35">
      <c r="A370" s="6"/>
      <c r="B370" s="9"/>
      <c r="C370" s="6"/>
      <c r="D370" s="6"/>
      <c r="E370" s="6"/>
      <c r="F370" s="6"/>
      <c r="G370" s="6"/>
      <c r="H370" s="6"/>
      <c r="I370" s="11" t="str">
        <f t="shared" si="10"/>
        <v/>
      </c>
      <c r="J370" s="11" t="str">
        <f t="shared" si="11"/>
        <v/>
      </c>
    </row>
    <row r="371" spans="1:10" x14ac:dyDescent="0.35">
      <c r="A371" s="6"/>
      <c r="B371" s="9"/>
      <c r="C371" s="6"/>
      <c r="D371" s="6"/>
      <c r="E371" s="6"/>
      <c r="F371" s="6"/>
      <c r="G371" s="6"/>
      <c r="H371" s="6"/>
      <c r="I371" s="11" t="str">
        <f t="shared" si="10"/>
        <v/>
      </c>
      <c r="J371" s="11" t="str">
        <f t="shared" si="11"/>
        <v/>
      </c>
    </row>
    <row r="372" spans="1:10" x14ac:dyDescent="0.35">
      <c r="A372" s="6"/>
      <c r="B372" s="9"/>
      <c r="C372" s="6"/>
      <c r="D372" s="6"/>
      <c r="E372" s="6"/>
      <c r="F372" s="6"/>
      <c r="G372" s="6"/>
      <c r="H372" s="6"/>
      <c r="I372" s="11" t="str">
        <f t="shared" si="10"/>
        <v/>
      </c>
      <c r="J372" s="11" t="str">
        <f t="shared" si="11"/>
        <v/>
      </c>
    </row>
    <row r="373" spans="1:10" x14ac:dyDescent="0.35">
      <c r="A373" s="6"/>
      <c r="B373" s="9"/>
      <c r="C373" s="6"/>
      <c r="D373" s="6"/>
      <c r="E373" s="6"/>
      <c r="F373" s="6"/>
      <c r="G373" s="6"/>
      <c r="H373" s="6"/>
      <c r="I373" s="11" t="str">
        <f t="shared" si="10"/>
        <v/>
      </c>
      <c r="J373" s="11" t="str">
        <f t="shared" si="11"/>
        <v/>
      </c>
    </row>
    <row r="374" spans="1:10" x14ac:dyDescent="0.35">
      <c r="A374" s="6"/>
      <c r="B374" s="9"/>
      <c r="C374" s="6"/>
      <c r="D374" s="6"/>
      <c r="E374" s="6"/>
      <c r="F374" s="6"/>
      <c r="G374" s="6"/>
      <c r="H374" s="6"/>
      <c r="I374" s="11" t="str">
        <f t="shared" si="10"/>
        <v/>
      </c>
      <c r="J374" s="11" t="str">
        <f t="shared" si="11"/>
        <v/>
      </c>
    </row>
    <row r="375" spans="1:10" x14ac:dyDescent="0.35">
      <c r="A375" s="6"/>
      <c r="B375" s="9"/>
      <c r="C375" s="6"/>
      <c r="D375" s="6"/>
      <c r="E375" s="6"/>
      <c r="F375" s="6"/>
      <c r="G375" s="6"/>
      <c r="H375" s="6"/>
      <c r="I375" s="11" t="str">
        <f t="shared" si="10"/>
        <v/>
      </c>
      <c r="J375" s="11" t="str">
        <f t="shared" si="11"/>
        <v/>
      </c>
    </row>
    <row r="376" spans="1:10" x14ac:dyDescent="0.35">
      <c r="A376" s="6"/>
      <c r="B376" s="9"/>
      <c r="C376" s="6"/>
      <c r="D376" s="6"/>
      <c r="E376" s="6"/>
      <c r="F376" s="6"/>
      <c r="G376" s="6"/>
      <c r="H376" s="6"/>
      <c r="I376" s="11" t="str">
        <f t="shared" si="10"/>
        <v/>
      </c>
      <c r="J376" s="11" t="str">
        <f t="shared" si="11"/>
        <v/>
      </c>
    </row>
    <row r="377" spans="1:10" x14ac:dyDescent="0.35">
      <c r="A377" s="6"/>
      <c r="B377" s="9"/>
      <c r="C377" s="6"/>
      <c r="D377" s="6"/>
      <c r="E377" s="6"/>
      <c r="F377" s="6"/>
      <c r="G377" s="6"/>
      <c r="H377" s="6"/>
      <c r="I377" s="11" t="str">
        <f t="shared" si="10"/>
        <v/>
      </c>
      <c r="J377" s="11" t="str">
        <f t="shared" si="11"/>
        <v/>
      </c>
    </row>
    <row r="378" spans="1:10" x14ac:dyDescent="0.35">
      <c r="A378" s="6"/>
      <c r="B378" s="9"/>
      <c r="C378" s="6"/>
      <c r="D378" s="6"/>
      <c r="E378" s="6"/>
      <c r="F378" s="6"/>
      <c r="G378" s="6"/>
      <c r="H378" s="6"/>
      <c r="I378" s="11" t="str">
        <f t="shared" si="10"/>
        <v/>
      </c>
      <c r="J378" s="11" t="str">
        <f t="shared" si="11"/>
        <v/>
      </c>
    </row>
    <row r="379" spans="1:10" x14ac:dyDescent="0.35">
      <c r="A379" s="6"/>
      <c r="B379" s="9"/>
      <c r="C379" s="6"/>
      <c r="D379" s="6"/>
      <c r="E379" s="6"/>
      <c r="F379" s="6"/>
      <c r="G379" s="6"/>
      <c r="H379" s="6"/>
      <c r="I379" s="11" t="str">
        <f t="shared" si="10"/>
        <v/>
      </c>
      <c r="J379" s="11" t="str">
        <f t="shared" si="11"/>
        <v/>
      </c>
    </row>
    <row r="380" spans="1:10" x14ac:dyDescent="0.35">
      <c r="A380" s="6"/>
      <c r="B380" s="9"/>
      <c r="C380" s="6"/>
      <c r="D380" s="6"/>
      <c r="E380" s="6"/>
      <c r="F380" s="6"/>
      <c r="G380" s="6"/>
      <c r="H380" s="6"/>
      <c r="I380" s="11" t="str">
        <f t="shared" si="10"/>
        <v/>
      </c>
      <c r="J380" s="11" t="str">
        <f t="shared" si="11"/>
        <v/>
      </c>
    </row>
    <row r="381" spans="1:10" x14ac:dyDescent="0.35">
      <c r="A381" s="6"/>
      <c r="B381" s="9"/>
      <c r="C381" s="6"/>
      <c r="D381" s="6"/>
      <c r="E381" s="6"/>
      <c r="F381" s="6"/>
      <c r="G381" s="6"/>
      <c r="H381" s="6"/>
      <c r="I381" s="11" t="str">
        <f t="shared" si="10"/>
        <v/>
      </c>
      <c r="J381" s="11" t="str">
        <f t="shared" si="11"/>
        <v/>
      </c>
    </row>
    <row r="382" spans="1:10" x14ac:dyDescent="0.35">
      <c r="A382" s="6"/>
      <c r="B382" s="9"/>
      <c r="C382" s="6"/>
      <c r="D382" s="6"/>
      <c r="E382" s="6"/>
      <c r="F382" s="6"/>
      <c r="G382" s="6"/>
      <c r="H382" s="6"/>
      <c r="I382" s="11" t="str">
        <f t="shared" si="10"/>
        <v/>
      </c>
      <c r="J382" s="11" t="str">
        <f t="shared" si="11"/>
        <v/>
      </c>
    </row>
    <row r="383" spans="1:10" x14ac:dyDescent="0.35">
      <c r="A383" s="6"/>
      <c r="B383" s="9"/>
      <c r="C383" s="6"/>
      <c r="D383" s="6"/>
      <c r="E383" s="6"/>
      <c r="F383" s="6"/>
      <c r="G383" s="6"/>
      <c r="H383" s="6"/>
      <c r="I383" s="11" t="str">
        <f t="shared" si="10"/>
        <v/>
      </c>
      <c r="J383" s="11" t="str">
        <f t="shared" si="11"/>
        <v/>
      </c>
    </row>
    <row r="384" spans="1:10" x14ac:dyDescent="0.35">
      <c r="A384" s="6"/>
      <c r="B384" s="9"/>
      <c r="C384" s="6"/>
      <c r="D384" s="6"/>
      <c r="E384" s="6"/>
      <c r="F384" s="6"/>
      <c r="G384" s="6"/>
      <c r="H384" s="6"/>
      <c r="I384" s="11" t="str">
        <f t="shared" si="10"/>
        <v/>
      </c>
      <c r="J384" s="11" t="str">
        <f t="shared" si="11"/>
        <v/>
      </c>
    </row>
    <row r="385" spans="1:10" x14ac:dyDescent="0.35">
      <c r="A385" s="6"/>
      <c r="B385" s="9"/>
      <c r="C385" s="6"/>
      <c r="D385" s="6"/>
      <c r="E385" s="6"/>
      <c r="F385" s="6"/>
      <c r="G385" s="6"/>
      <c r="H385" s="6"/>
      <c r="I385" s="11" t="str">
        <f t="shared" si="10"/>
        <v/>
      </c>
      <c r="J385" s="11" t="str">
        <f t="shared" si="11"/>
        <v/>
      </c>
    </row>
    <row r="386" spans="1:10" x14ac:dyDescent="0.35">
      <c r="A386" s="6"/>
      <c r="B386" s="9"/>
      <c r="C386" s="6"/>
      <c r="D386" s="6"/>
      <c r="E386" s="6"/>
      <c r="F386" s="6"/>
      <c r="G386" s="6"/>
      <c r="H386" s="6"/>
      <c r="I386" s="11" t="str">
        <f t="shared" si="10"/>
        <v/>
      </c>
      <c r="J386" s="11" t="str">
        <f t="shared" si="11"/>
        <v/>
      </c>
    </row>
    <row r="387" spans="1:10" x14ac:dyDescent="0.35">
      <c r="A387" s="6"/>
      <c r="B387" s="9"/>
      <c r="C387" s="6"/>
      <c r="D387" s="6"/>
      <c r="E387" s="6"/>
      <c r="F387" s="6"/>
      <c r="G387" s="6"/>
      <c r="H387" s="6"/>
      <c r="I387" s="11" t="str">
        <f t="shared" si="10"/>
        <v/>
      </c>
      <c r="J387" s="11" t="str">
        <f t="shared" si="11"/>
        <v/>
      </c>
    </row>
    <row r="388" spans="1:10" x14ac:dyDescent="0.35">
      <c r="A388" s="6"/>
      <c r="B388" s="9"/>
      <c r="C388" s="6"/>
      <c r="D388" s="6"/>
      <c r="E388" s="6"/>
      <c r="F388" s="6"/>
      <c r="G388" s="6"/>
      <c r="H388" s="6"/>
      <c r="I388" s="11" t="str">
        <f t="shared" ref="I388:I451" si="12">IF(A388="","",IF(OR(B388="",C388="",D388="",E388="",F388="",G388=""),"MISSING FIELD","ENTERED"))</f>
        <v/>
      </c>
      <c r="J388" s="11" t="str">
        <f t="shared" ref="J388:J451" si="13">IF(A388="","",IF(OR(F388="",NOT(ISNUMBER(F388))),"CHECK HOURS",IF(F388&gt;16,"REVIEW","OK")))</f>
        <v/>
      </c>
    </row>
    <row r="389" spans="1:10" x14ac:dyDescent="0.35">
      <c r="A389" s="6"/>
      <c r="B389" s="9"/>
      <c r="C389" s="6"/>
      <c r="D389" s="6"/>
      <c r="E389" s="6"/>
      <c r="F389" s="6"/>
      <c r="G389" s="6"/>
      <c r="H389" s="6"/>
      <c r="I389" s="11" t="str">
        <f t="shared" si="12"/>
        <v/>
      </c>
      <c r="J389" s="11" t="str">
        <f t="shared" si="13"/>
        <v/>
      </c>
    </row>
    <row r="390" spans="1:10" x14ac:dyDescent="0.35">
      <c r="A390" s="6"/>
      <c r="B390" s="9"/>
      <c r="C390" s="6"/>
      <c r="D390" s="6"/>
      <c r="E390" s="6"/>
      <c r="F390" s="6"/>
      <c r="G390" s="6"/>
      <c r="H390" s="6"/>
      <c r="I390" s="11" t="str">
        <f t="shared" si="12"/>
        <v/>
      </c>
      <c r="J390" s="11" t="str">
        <f t="shared" si="13"/>
        <v/>
      </c>
    </row>
    <row r="391" spans="1:10" x14ac:dyDescent="0.35">
      <c r="A391" s="6"/>
      <c r="B391" s="9"/>
      <c r="C391" s="6"/>
      <c r="D391" s="6"/>
      <c r="E391" s="6"/>
      <c r="F391" s="6"/>
      <c r="G391" s="6"/>
      <c r="H391" s="6"/>
      <c r="I391" s="11" t="str">
        <f t="shared" si="12"/>
        <v/>
      </c>
      <c r="J391" s="11" t="str">
        <f t="shared" si="13"/>
        <v/>
      </c>
    </row>
    <row r="392" spans="1:10" x14ac:dyDescent="0.35">
      <c r="A392" s="6"/>
      <c r="B392" s="9"/>
      <c r="C392" s="6"/>
      <c r="D392" s="6"/>
      <c r="E392" s="6"/>
      <c r="F392" s="6"/>
      <c r="G392" s="6"/>
      <c r="H392" s="6"/>
      <c r="I392" s="11" t="str">
        <f t="shared" si="12"/>
        <v/>
      </c>
      <c r="J392" s="11" t="str">
        <f t="shared" si="13"/>
        <v/>
      </c>
    </row>
    <row r="393" spans="1:10" x14ac:dyDescent="0.35">
      <c r="A393" s="6"/>
      <c r="B393" s="9"/>
      <c r="C393" s="6"/>
      <c r="D393" s="6"/>
      <c r="E393" s="6"/>
      <c r="F393" s="6"/>
      <c r="G393" s="6"/>
      <c r="H393" s="6"/>
      <c r="I393" s="11" t="str">
        <f t="shared" si="12"/>
        <v/>
      </c>
      <c r="J393" s="11" t="str">
        <f t="shared" si="13"/>
        <v/>
      </c>
    </row>
    <row r="394" spans="1:10" x14ac:dyDescent="0.35">
      <c r="A394" s="6"/>
      <c r="B394" s="9"/>
      <c r="C394" s="6"/>
      <c r="D394" s="6"/>
      <c r="E394" s="6"/>
      <c r="F394" s="6"/>
      <c r="G394" s="6"/>
      <c r="H394" s="6"/>
      <c r="I394" s="11" t="str">
        <f t="shared" si="12"/>
        <v/>
      </c>
      <c r="J394" s="11" t="str">
        <f t="shared" si="13"/>
        <v/>
      </c>
    </row>
    <row r="395" spans="1:10" x14ac:dyDescent="0.35">
      <c r="A395" s="6"/>
      <c r="B395" s="9"/>
      <c r="C395" s="6"/>
      <c r="D395" s="6"/>
      <c r="E395" s="6"/>
      <c r="F395" s="6"/>
      <c r="G395" s="6"/>
      <c r="H395" s="6"/>
      <c r="I395" s="11" t="str">
        <f t="shared" si="12"/>
        <v/>
      </c>
      <c r="J395" s="11" t="str">
        <f t="shared" si="13"/>
        <v/>
      </c>
    </row>
    <row r="396" spans="1:10" x14ac:dyDescent="0.35">
      <c r="A396" s="6"/>
      <c r="B396" s="9"/>
      <c r="C396" s="6"/>
      <c r="D396" s="6"/>
      <c r="E396" s="6"/>
      <c r="F396" s="6"/>
      <c r="G396" s="6"/>
      <c r="H396" s="6"/>
      <c r="I396" s="11" t="str">
        <f t="shared" si="12"/>
        <v/>
      </c>
      <c r="J396" s="11" t="str">
        <f t="shared" si="13"/>
        <v/>
      </c>
    </row>
    <row r="397" spans="1:10" x14ac:dyDescent="0.35">
      <c r="A397" s="6"/>
      <c r="B397" s="9"/>
      <c r="C397" s="6"/>
      <c r="D397" s="6"/>
      <c r="E397" s="6"/>
      <c r="F397" s="6"/>
      <c r="G397" s="6"/>
      <c r="H397" s="6"/>
      <c r="I397" s="11" t="str">
        <f t="shared" si="12"/>
        <v/>
      </c>
      <c r="J397" s="11" t="str">
        <f t="shared" si="13"/>
        <v/>
      </c>
    </row>
    <row r="398" spans="1:10" x14ac:dyDescent="0.35">
      <c r="A398" s="6"/>
      <c r="B398" s="9"/>
      <c r="C398" s="6"/>
      <c r="D398" s="6"/>
      <c r="E398" s="6"/>
      <c r="F398" s="6"/>
      <c r="G398" s="6"/>
      <c r="H398" s="6"/>
      <c r="I398" s="11" t="str">
        <f t="shared" si="12"/>
        <v/>
      </c>
      <c r="J398" s="11" t="str">
        <f t="shared" si="13"/>
        <v/>
      </c>
    </row>
    <row r="399" spans="1:10" x14ac:dyDescent="0.35">
      <c r="A399" s="6"/>
      <c r="B399" s="9"/>
      <c r="C399" s="6"/>
      <c r="D399" s="6"/>
      <c r="E399" s="6"/>
      <c r="F399" s="6"/>
      <c r="G399" s="6"/>
      <c r="H399" s="6"/>
      <c r="I399" s="11" t="str">
        <f t="shared" si="12"/>
        <v/>
      </c>
      <c r="J399" s="11" t="str">
        <f t="shared" si="13"/>
        <v/>
      </c>
    </row>
    <row r="400" spans="1:10" x14ac:dyDescent="0.35">
      <c r="A400" s="6"/>
      <c r="B400" s="9"/>
      <c r="C400" s="6"/>
      <c r="D400" s="6"/>
      <c r="E400" s="6"/>
      <c r="F400" s="6"/>
      <c r="G400" s="6"/>
      <c r="H400" s="6"/>
      <c r="I400" s="11" t="str">
        <f t="shared" si="12"/>
        <v/>
      </c>
      <c r="J400" s="11" t="str">
        <f t="shared" si="13"/>
        <v/>
      </c>
    </row>
    <row r="401" spans="1:10" x14ac:dyDescent="0.35">
      <c r="A401" s="6"/>
      <c r="B401" s="9"/>
      <c r="C401" s="6"/>
      <c r="D401" s="6"/>
      <c r="E401" s="6"/>
      <c r="F401" s="6"/>
      <c r="G401" s="6"/>
      <c r="H401" s="6"/>
      <c r="I401" s="11" t="str">
        <f t="shared" si="12"/>
        <v/>
      </c>
      <c r="J401" s="11" t="str">
        <f t="shared" si="13"/>
        <v/>
      </c>
    </row>
    <row r="402" spans="1:10" x14ac:dyDescent="0.35">
      <c r="A402" s="6"/>
      <c r="B402" s="9"/>
      <c r="C402" s="6"/>
      <c r="D402" s="6"/>
      <c r="E402" s="6"/>
      <c r="F402" s="6"/>
      <c r="G402" s="6"/>
      <c r="H402" s="6"/>
      <c r="I402" s="11" t="str">
        <f t="shared" si="12"/>
        <v/>
      </c>
      <c r="J402" s="11" t="str">
        <f t="shared" si="13"/>
        <v/>
      </c>
    </row>
    <row r="403" spans="1:10" x14ac:dyDescent="0.35">
      <c r="A403" s="6"/>
      <c r="B403" s="9"/>
      <c r="C403" s="6"/>
      <c r="D403" s="6"/>
      <c r="E403" s="6"/>
      <c r="F403" s="6"/>
      <c r="G403" s="6"/>
      <c r="H403" s="6"/>
      <c r="I403" s="11" t="str">
        <f t="shared" si="12"/>
        <v/>
      </c>
      <c r="J403" s="11" t="str">
        <f t="shared" si="13"/>
        <v/>
      </c>
    </row>
    <row r="404" spans="1:10" x14ac:dyDescent="0.35">
      <c r="A404" s="6"/>
      <c r="B404" s="9"/>
      <c r="C404" s="6"/>
      <c r="D404" s="6"/>
      <c r="E404" s="6"/>
      <c r="F404" s="6"/>
      <c r="G404" s="6"/>
      <c r="H404" s="6"/>
      <c r="I404" s="11" t="str">
        <f t="shared" si="12"/>
        <v/>
      </c>
      <c r="J404" s="11" t="str">
        <f t="shared" si="13"/>
        <v/>
      </c>
    </row>
    <row r="405" spans="1:10" x14ac:dyDescent="0.35">
      <c r="A405" s="6"/>
      <c r="B405" s="9"/>
      <c r="C405" s="6"/>
      <c r="D405" s="6"/>
      <c r="E405" s="6"/>
      <c r="F405" s="6"/>
      <c r="G405" s="6"/>
      <c r="H405" s="6"/>
      <c r="I405" s="11" t="str">
        <f t="shared" si="12"/>
        <v/>
      </c>
      <c r="J405" s="11" t="str">
        <f t="shared" si="13"/>
        <v/>
      </c>
    </row>
    <row r="406" spans="1:10" x14ac:dyDescent="0.35">
      <c r="A406" s="6"/>
      <c r="B406" s="9"/>
      <c r="C406" s="6"/>
      <c r="D406" s="6"/>
      <c r="E406" s="6"/>
      <c r="F406" s="6"/>
      <c r="G406" s="6"/>
      <c r="H406" s="6"/>
      <c r="I406" s="11" t="str">
        <f t="shared" si="12"/>
        <v/>
      </c>
      <c r="J406" s="11" t="str">
        <f t="shared" si="13"/>
        <v/>
      </c>
    </row>
    <row r="407" spans="1:10" x14ac:dyDescent="0.35">
      <c r="A407" s="6"/>
      <c r="B407" s="9"/>
      <c r="C407" s="6"/>
      <c r="D407" s="6"/>
      <c r="E407" s="6"/>
      <c r="F407" s="6"/>
      <c r="G407" s="6"/>
      <c r="H407" s="6"/>
      <c r="I407" s="11" t="str">
        <f t="shared" si="12"/>
        <v/>
      </c>
      <c r="J407" s="11" t="str">
        <f t="shared" si="13"/>
        <v/>
      </c>
    </row>
    <row r="408" spans="1:10" x14ac:dyDescent="0.35">
      <c r="A408" s="6"/>
      <c r="B408" s="9"/>
      <c r="C408" s="6"/>
      <c r="D408" s="6"/>
      <c r="E408" s="6"/>
      <c r="F408" s="6"/>
      <c r="G408" s="6"/>
      <c r="H408" s="6"/>
      <c r="I408" s="11" t="str">
        <f t="shared" si="12"/>
        <v/>
      </c>
      <c r="J408" s="11" t="str">
        <f t="shared" si="13"/>
        <v/>
      </c>
    </row>
    <row r="409" spans="1:10" x14ac:dyDescent="0.35">
      <c r="A409" s="6"/>
      <c r="B409" s="9"/>
      <c r="C409" s="6"/>
      <c r="D409" s="6"/>
      <c r="E409" s="6"/>
      <c r="F409" s="6"/>
      <c r="G409" s="6"/>
      <c r="H409" s="6"/>
      <c r="I409" s="11" t="str">
        <f t="shared" si="12"/>
        <v/>
      </c>
      <c r="J409" s="11" t="str">
        <f t="shared" si="13"/>
        <v/>
      </c>
    </row>
    <row r="410" spans="1:10" x14ac:dyDescent="0.35">
      <c r="A410" s="6"/>
      <c r="B410" s="9"/>
      <c r="C410" s="6"/>
      <c r="D410" s="6"/>
      <c r="E410" s="6"/>
      <c r="F410" s="6"/>
      <c r="G410" s="6"/>
      <c r="H410" s="6"/>
      <c r="I410" s="11" t="str">
        <f t="shared" si="12"/>
        <v/>
      </c>
      <c r="J410" s="11" t="str">
        <f t="shared" si="13"/>
        <v/>
      </c>
    </row>
    <row r="411" spans="1:10" x14ac:dyDescent="0.35">
      <c r="A411" s="6"/>
      <c r="B411" s="9"/>
      <c r="C411" s="6"/>
      <c r="D411" s="6"/>
      <c r="E411" s="6"/>
      <c r="F411" s="6"/>
      <c r="G411" s="6"/>
      <c r="H411" s="6"/>
      <c r="I411" s="11" t="str">
        <f t="shared" si="12"/>
        <v/>
      </c>
      <c r="J411" s="11" t="str">
        <f t="shared" si="13"/>
        <v/>
      </c>
    </row>
    <row r="412" spans="1:10" x14ac:dyDescent="0.35">
      <c r="A412" s="6"/>
      <c r="B412" s="9"/>
      <c r="C412" s="6"/>
      <c r="D412" s="6"/>
      <c r="E412" s="6"/>
      <c r="F412" s="6"/>
      <c r="G412" s="6"/>
      <c r="H412" s="6"/>
      <c r="I412" s="11" t="str">
        <f t="shared" si="12"/>
        <v/>
      </c>
      <c r="J412" s="11" t="str">
        <f t="shared" si="13"/>
        <v/>
      </c>
    </row>
    <row r="413" spans="1:10" x14ac:dyDescent="0.35">
      <c r="A413" s="6"/>
      <c r="B413" s="9"/>
      <c r="C413" s="6"/>
      <c r="D413" s="6"/>
      <c r="E413" s="6"/>
      <c r="F413" s="6"/>
      <c r="G413" s="6"/>
      <c r="H413" s="6"/>
      <c r="I413" s="11" t="str">
        <f t="shared" si="12"/>
        <v/>
      </c>
      <c r="J413" s="11" t="str">
        <f t="shared" si="13"/>
        <v/>
      </c>
    </row>
    <row r="414" spans="1:10" x14ac:dyDescent="0.35">
      <c r="A414" s="6"/>
      <c r="B414" s="9"/>
      <c r="C414" s="6"/>
      <c r="D414" s="6"/>
      <c r="E414" s="6"/>
      <c r="F414" s="6"/>
      <c r="G414" s="6"/>
      <c r="H414" s="6"/>
      <c r="I414" s="11" t="str">
        <f t="shared" si="12"/>
        <v/>
      </c>
      <c r="J414" s="11" t="str">
        <f t="shared" si="13"/>
        <v/>
      </c>
    </row>
    <row r="415" spans="1:10" x14ac:dyDescent="0.35">
      <c r="A415" s="6"/>
      <c r="B415" s="9"/>
      <c r="C415" s="6"/>
      <c r="D415" s="6"/>
      <c r="E415" s="6"/>
      <c r="F415" s="6"/>
      <c r="G415" s="6"/>
      <c r="H415" s="6"/>
      <c r="I415" s="11" t="str">
        <f t="shared" si="12"/>
        <v/>
      </c>
      <c r="J415" s="11" t="str">
        <f t="shared" si="13"/>
        <v/>
      </c>
    </row>
    <row r="416" spans="1:10" x14ac:dyDescent="0.35">
      <c r="A416" s="6"/>
      <c r="B416" s="9"/>
      <c r="C416" s="6"/>
      <c r="D416" s="6"/>
      <c r="E416" s="6"/>
      <c r="F416" s="6"/>
      <c r="G416" s="6"/>
      <c r="H416" s="6"/>
      <c r="I416" s="11" t="str">
        <f t="shared" si="12"/>
        <v/>
      </c>
      <c r="J416" s="11" t="str">
        <f t="shared" si="13"/>
        <v/>
      </c>
    </row>
    <row r="417" spans="1:10" x14ac:dyDescent="0.35">
      <c r="A417" s="6"/>
      <c r="B417" s="9"/>
      <c r="C417" s="6"/>
      <c r="D417" s="6"/>
      <c r="E417" s="6"/>
      <c r="F417" s="6"/>
      <c r="G417" s="6"/>
      <c r="H417" s="6"/>
      <c r="I417" s="11" t="str">
        <f t="shared" si="12"/>
        <v/>
      </c>
      <c r="J417" s="11" t="str">
        <f t="shared" si="13"/>
        <v/>
      </c>
    </row>
    <row r="418" spans="1:10" x14ac:dyDescent="0.35">
      <c r="A418" s="6"/>
      <c r="B418" s="9"/>
      <c r="C418" s="6"/>
      <c r="D418" s="6"/>
      <c r="E418" s="6"/>
      <c r="F418" s="6"/>
      <c r="G418" s="6"/>
      <c r="H418" s="6"/>
      <c r="I418" s="11" t="str">
        <f t="shared" si="12"/>
        <v/>
      </c>
      <c r="J418" s="11" t="str">
        <f t="shared" si="13"/>
        <v/>
      </c>
    </row>
    <row r="419" spans="1:10" x14ac:dyDescent="0.35">
      <c r="A419" s="6"/>
      <c r="B419" s="9"/>
      <c r="C419" s="6"/>
      <c r="D419" s="6"/>
      <c r="E419" s="6"/>
      <c r="F419" s="6"/>
      <c r="G419" s="6"/>
      <c r="H419" s="6"/>
      <c r="I419" s="11" t="str">
        <f t="shared" si="12"/>
        <v/>
      </c>
      <c r="J419" s="11" t="str">
        <f t="shared" si="13"/>
        <v/>
      </c>
    </row>
    <row r="420" spans="1:10" x14ac:dyDescent="0.35">
      <c r="A420" s="6"/>
      <c r="B420" s="9"/>
      <c r="C420" s="6"/>
      <c r="D420" s="6"/>
      <c r="E420" s="6"/>
      <c r="F420" s="6"/>
      <c r="G420" s="6"/>
      <c r="H420" s="6"/>
      <c r="I420" s="11" t="str">
        <f t="shared" si="12"/>
        <v/>
      </c>
      <c r="J420" s="11" t="str">
        <f t="shared" si="13"/>
        <v/>
      </c>
    </row>
    <row r="421" spans="1:10" x14ac:dyDescent="0.35">
      <c r="A421" s="6"/>
      <c r="B421" s="9"/>
      <c r="C421" s="6"/>
      <c r="D421" s="6"/>
      <c r="E421" s="6"/>
      <c r="F421" s="6"/>
      <c r="G421" s="6"/>
      <c r="H421" s="6"/>
      <c r="I421" s="11" t="str">
        <f t="shared" si="12"/>
        <v/>
      </c>
      <c r="J421" s="11" t="str">
        <f t="shared" si="13"/>
        <v/>
      </c>
    </row>
    <row r="422" spans="1:10" x14ac:dyDescent="0.35">
      <c r="A422" s="6"/>
      <c r="B422" s="9"/>
      <c r="C422" s="6"/>
      <c r="D422" s="6"/>
      <c r="E422" s="6"/>
      <c r="F422" s="6"/>
      <c r="G422" s="6"/>
      <c r="H422" s="6"/>
      <c r="I422" s="11" t="str">
        <f t="shared" si="12"/>
        <v/>
      </c>
      <c r="J422" s="11" t="str">
        <f t="shared" si="13"/>
        <v/>
      </c>
    </row>
    <row r="423" spans="1:10" x14ac:dyDescent="0.35">
      <c r="A423" s="6"/>
      <c r="B423" s="9"/>
      <c r="C423" s="6"/>
      <c r="D423" s="6"/>
      <c r="E423" s="6"/>
      <c r="F423" s="6"/>
      <c r="G423" s="6"/>
      <c r="H423" s="6"/>
      <c r="I423" s="11" t="str">
        <f t="shared" si="12"/>
        <v/>
      </c>
      <c r="J423" s="11" t="str">
        <f t="shared" si="13"/>
        <v/>
      </c>
    </row>
    <row r="424" spans="1:10" x14ac:dyDescent="0.35">
      <c r="A424" s="6"/>
      <c r="B424" s="9"/>
      <c r="C424" s="6"/>
      <c r="D424" s="6"/>
      <c r="E424" s="6"/>
      <c r="F424" s="6"/>
      <c r="G424" s="6"/>
      <c r="H424" s="6"/>
      <c r="I424" s="11" t="str">
        <f t="shared" si="12"/>
        <v/>
      </c>
      <c r="J424" s="11" t="str">
        <f t="shared" si="13"/>
        <v/>
      </c>
    </row>
    <row r="425" spans="1:10" x14ac:dyDescent="0.35">
      <c r="A425" s="6"/>
      <c r="B425" s="9"/>
      <c r="C425" s="6"/>
      <c r="D425" s="6"/>
      <c r="E425" s="6"/>
      <c r="F425" s="6"/>
      <c r="G425" s="6"/>
      <c r="H425" s="6"/>
      <c r="I425" s="11" t="str">
        <f t="shared" si="12"/>
        <v/>
      </c>
      <c r="J425" s="11" t="str">
        <f t="shared" si="13"/>
        <v/>
      </c>
    </row>
    <row r="426" spans="1:10" x14ac:dyDescent="0.35">
      <c r="A426" s="6"/>
      <c r="B426" s="9"/>
      <c r="C426" s="6"/>
      <c r="D426" s="6"/>
      <c r="E426" s="6"/>
      <c r="F426" s="6"/>
      <c r="G426" s="6"/>
      <c r="H426" s="6"/>
      <c r="I426" s="11" t="str">
        <f t="shared" si="12"/>
        <v/>
      </c>
      <c r="J426" s="11" t="str">
        <f t="shared" si="13"/>
        <v/>
      </c>
    </row>
    <row r="427" spans="1:10" x14ac:dyDescent="0.35">
      <c r="A427" s="6"/>
      <c r="B427" s="9"/>
      <c r="C427" s="6"/>
      <c r="D427" s="6"/>
      <c r="E427" s="6"/>
      <c r="F427" s="6"/>
      <c r="G427" s="6"/>
      <c r="H427" s="6"/>
      <c r="I427" s="11" t="str">
        <f t="shared" si="12"/>
        <v/>
      </c>
      <c r="J427" s="11" t="str">
        <f t="shared" si="13"/>
        <v/>
      </c>
    </row>
    <row r="428" spans="1:10" x14ac:dyDescent="0.35">
      <c r="A428" s="6"/>
      <c r="B428" s="9"/>
      <c r="C428" s="6"/>
      <c r="D428" s="6"/>
      <c r="E428" s="6"/>
      <c r="F428" s="6"/>
      <c r="G428" s="6"/>
      <c r="H428" s="6"/>
      <c r="I428" s="11" t="str">
        <f t="shared" si="12"/>
        <v/>
      </c>
      <c r="J428" s="11" t="str">
        <f t="shared" si="13"/>
        <v/>
      </c>
    </row>
    <row r="429" spans="1:10" x14ac:dyDescent="0.35">
      <c r="A429" s="6"/>
      <c r="B429" s="9"/>
      <c r="C429" s="6"/>
      <c r="D429" s="6"/>
      <c r="E429" s="6"/>
      <c r="F429" s="6"/>
      <c r="G429" s="6"/>
      <c r="H429" s="6"/>
      <c r="I429" s="11" t="str">
        <f t="shared" si="12"/>
        <v/>
      </c>
      <c r="J429" s="11" t="str">
        <f t="shared" si="13"/>
        <v/>
      </c>
    </row>
    <row r="430" spans="1:10" x14ac:dyDescent="0.35">
      <c r="A430" s="6"/>
      <c r="B430" s="9"/>
      <c r="C430" s="6"/>
      <c r="D430" s="6"/>
      <c r="E430" s="6"/>
      <c r="F430" s="6"/>
      <c r="G430" s="6"/>
      <c r="H430" s="6"/>
      <c r="I430" s="11" t="str">
        <f t="shared" si="12"/>
        <v/>
      </c>
      <c r="J430" s="11" t="str">
        <f t="shared" si="13"/>
        <v/>
      </c>
    </row>
    <row r="431" spans="1:10" x14ac:dyDescent="0.35">
      <c r="A431" s="6"/>
      <c r="B431" s="9"/>
      <c r="C431" s="6"/>
      <c r="D431" s="6"/>
      <c r="E431" s="6"/>
      <c r="F431" s="6"/>
      <c r="G431" s="6"/>
      <c r="H431" s="6"/>
      <c r="I431" s="11" t="str">
        <f t="shared" si="12"/>
        <v/>
      </c>
      <c r="J431" s="11" t="str">
        <f t="shared" si="13"/>
        <v/>
      </c>
    </row>
    <row r="432" spans="1:10" x14ac:dyDescent="0.35">
      <c r="A432" s="6"/>
      <c r="B432" s="9"/>
      <c r="C432" s="6"/>
      <c r="D432" s="6"/>
      <c r="E432" s="6"/>
      <c r="F432" s="6"/>
      <c r="G432" s="6"/>
      <c r="H432" s="6"/>
      <c r="I432" s="11" t="str">
        <f t="shared" si="12"/>
        <v/>
      </c>
      <c r="J432" s="11" t="str">
        <f t="shared" si="13"/>
        <v/>
      </c>
    </row>
    <row r="433" spans="1:10" x14ac:dyDescent="0.35">
      <c r="A433" s="6"/>
      <c r="B433" s="9"/>
      <c r="C433" s="6"/>
      <c r="D433" s="6"/>
      <c r="E433" s="6"/>
      <c r="F433" s="6"/>
      <c r="G433" s="6"/>
      <c r="H433" s="6"/>
      <c r="I433" s="11" t="str">
        <f t="shared" si="12"/>
        <v/>
      </c>
      <c r="J433" s="11" t="str">
        <f t="shared" si="13"/>
        <v/>
      </c>
    </row>
    <row r="434" spans="1:10" x14ac:dyDescent="0.35">
      <c r="A434" s="6"/>
      <c r="B434" s="9"/>
      <c r="C434" s="6"/>
      <c r="D434" s="6"/>
      <c r="E434" s="6"/>
      <c r="F434" s="6"/>
      <c r="G434" s="6"/>
      <c r="H434" s="6"/>
      <c r="I434" s="11" t="str">
        <f t="shared" si="12"/>
        <v/>
      </c>
      <c r="J434" s="11" t="str">
        <f t="shared" si="13"/>
        <v/>
      </c>
    </row>
    <row r="435" spans="1:10" x14ac:dyDescent="0.35">
      <c r="A435" s="6"/>
      <c r="B435" s="9"/>
      <c r="C435" s="6"/>
      <c r="D435" s="6"/>
      <c r="E435" s="6"/>
      <c r="F435" s="6"/>
      <c r="G435" s="6"/>
      <c r="H435" s="6"/>
      <c r="I435" s="11" t="str">
        <f t="shared" si="12"/>
        <v/>
      </c>
      <c r="J435" s="11" t="str">
        <f t="shared" si="13"/>
        <v/>
      </c>
    </row>
    <row r="436" spans="1:10" x14ac:dyDescent="0.35">
      <c r="A436" s="6"/>
      <c r="B436" s="9"/>
      <c r="C436" s="6"/>
      <c r="D436" s="6"/>
      <c r="E436" s="6"/>
      <c r="F436" s="6"/>
      <c r="G436" s="6"/>
      <c r="H436" s="6"/>
      <c r="I436" s="11" t="str">
        <f t="shared" si="12"/>
        <v/>
      </c>
      <c r="J436" s="11" t="str">
        <f t="shared" si="13"/>
        <v/>
      </c>
    </row>
    <row r="437" spans="1:10" x14ac:dyDescent="0.35">
      <c r="A437" s="6"/>
      <c r="B437" s="9"/>
      <c r="C437" s="6"/>
      <c r="D437" s="6"/>
      <c r="E437" s="6"/>
      <c r="F437" s="6"/>
      <c r="G437" s="6"/>
      <c r="H437" s="6"/>
      <c r="I437" s="11" t="str">
        <f t="shared" si="12"/>
        <v/>
      </c>
      <c r="J437" s="11" t="str">
        <f t="shared" si="13"/>
        <v/>
      </c>
    </row>
    <row r="438" spans="1:10" x14ac:dyDescent="0.35">
      <c r="A438" s="6"/>
      <c r="B438" s="9"/>
      <c r="C438" s="6"/>
      <c r="D438" s="6"/>
      <c r="E438" s="6"/>
      <c r="F438" s="6"/>
      <c r="G438" s="6"/>
      <c r="H438" s="6"/>
      <c r="I438" s="11" t="str">
        <f t="shared" si="12"/>
        <v/>
      </c>
      <c r="J438" s="11" t="str">
        <f t="shared" si="13"/>
        <v/>
      </c>
    </row>
    <row r="439" spans="1:10" x14ac:dyDescent="0.35">
      <c r="A439" s="6"/>
      <c r="B439" s="9"/>
      <c r="C439" s="6"/>
      <c r="D439" s="6"/>
      <c r="E439" s="6"/>
      <c r="F439" s="6"/>
      <c r="G439" s="6"/>
      <c r="H439" s="6"/>
      <c r="I439" s="11" t="str">
        <f t="shared" si="12"/>
        <v/>
      </c>
      <c r="J439" s="11" t="str">
        <f t="shared" si="13"/>
        <v/>
      </c>
    </row>
    <row r="440" spans="1:10" x14ac:dyDescent="0.35">
      <c r="A440" s="6"/>
      <c r="B440" s="9"/>
      <c r="C440" s="6"/>
      <c r="D440" s="6"/>
      <c r="E440" s="6"/>
      <c r="F440" s="6"/>
      <c r="G440" s="6"/>
      <c r="H440" s="6"/>
      <c r="I440" s="11" t="str">
        <f t="shared" si="12"/>
        <v/>
      </c>
      <c r="J440" s="11" t="str">
        <f t="shared" si="13"/>
        <v/>
      </c>
    </row>
    <row r="441" spans="1:10" x14ac:dyDescent="0.35">
      <c r="A441" s="6"/>
      <c r="B441" s="9"/>
      <c r="C441" s="6"/>
      <c r="D441" s="6"/>
      <c r="E441" s="6"/>
      <c r="F441" s="6"/>
      <c r="G441" s="6"/>
      <c r="H441" s="6"/>
      <c r="I441" s="11" t="str">
        <f t="shared" si="12"/>
        <v/>
      </c>
      <c r="J441" s="11" t="str">
        <f t="shared" si="13"/>
        <v/>
      </c>
    </row>
    <row r="442" spans="1:10" x14ac:dyDescent="0.35">
      <c r="A442" s="6"/>
      <c r="B442" s="9"/>
      <c r="C442" s="6"/>
      <c r="D442" s="6"/>
      <c r="E442" s="6"/>
      <c r="F442" s="6"/>
      <c r="G442" s="6"/>
      <c r="H442" s="6"/>
      <c r="I442" s="11" t="str">
        <f t="shared" si="12"/>
        <v/>
      </c>
      <c r="J442" s="11" t="str">
        <f t="shared" si="13"/>
        <v/>
      </c>
    </row>
    <row r="443" spans="1:10" x14ac:dyDescent="0.35">
      <c r="A443" s="6"/>
      <c r="B443" s="9"/>
      <c r="C443" s="6"/>
      <c r="D443" s="6"/>
      <c r="E443" s="6"/>
      <c r="F443" s="6"/>
      <c r="G443" s="6"/>
      <c r="H443" s="6"/>
      <c r="I443" s="11" t="str">
        <f t="shared" si="12"/>
        <v/>
      </c>
      <c r="J443" s="11" t="str">
        <f t="shared" si="13"/>
        <v/>
      </c>
    </row>
    <row r="444" spans="1:10" x14ac:dyDescent="0.35">
      <c r="A444" s="6"/>
      <c r="B444" s="9"/>
      <c r="C444" s="6"/>
      <c r="D444" s="6"/>
      <c r="E444" s="6"/>
      <c r="F444" s="6"/>
      <c r="G444" s="6"/>
      <c r="H444" s="6"/>
      <c r="I444" s="11" t="str">
        <f t="shared" si="12"/>
        <v/>
      </c>
      <c r="J444" s="11" t="str">
        <f t="shared" si="13"/>
        <v/>
      </c>
    </row>
    <row r="445" spans="1:10" x14ac:dyDescent="0.35">
      <c r="A445" s="6"/>
      <c r="B445" s="9"/>
      <c r="C445" s="6"/>
      <c r="D445" s="6"/>
      <c r="E445" s="6"/>
      <c r="F445" s="6"/>
      <c r="G445" s="6"/>
      <c r="H445" s="6"/>
      <c r="I445" s="11" t="str">
        <f t="shared" si="12"/>
        <v/>
      </c>
      <c r="J445" s="11" t="str">
        <f t="shared" si="13"/>
        <v/>
      </c>
    </row>
    <row r="446" spans="1:10" x14ac:dyDescent="0.35">
      <c r="A446" s="6"/>
      <c r="B446" s="9"/>
      <c r="C446" s="6"/>
      <c r="D446" s="6"/>
      <c r="E446" s="6"/>
      <c r="F446" s="6"/>
      <c r="G446" s="6"/>
      <c r="H446" s="6"/>
      <c r="I446" s="11" t="str">
        <f t="shared" si="12"/>
        <v/>
      </c>
      <c r="J446" s="11" t="str">
        <f t="shared" si="13"/>
        <v/>
      </c>
    </row>
    <row r="447" spans="1:10" x14ac:dyDescent="0.35">
      <c r="A447" s="6"/>
      <c r="B447" s="9"/>
      <c r="C447" s="6"/>
      <c r="D447" s="6"/>
      <c r="E447" s="6"/>
      <c r="F447" s="6"/>
      <c r="G447" s="6"/>
      <c r="H447" s="6"/>
      <c r="I447" s="11" t="str">
        <f t="shared" si="12"/>
        <v/>
      </c>
      <c r="J447" s="11" t="str">
        <f t="shared" si="13"/>
        <v/>
      </c>
    </row>
    <row r="448" spans="1:10" x14ac:dyDescent="0.35">
      <c r="A448" s="6"/>
      <c r="B448" s="9"/>
      <c r="C448" s="6"/>
      <c r="D448" s="6"/>
      <c r="E448" s="6"/>
      <c r="F448" s="6"/>
      <c r="G448" s="6"/>
      <c r="H448" s="6"/>
      <c r="I448" s="11" t="str">
        <f t="shared" si="12"/>
        <v/>
      </c>
      <c r="J448" s="11" t="str">
        <f t="shared" si="13"/>
        <v/>
      </c>
    </row>
    <row r="449" spans="1:10" x14ac:dyDescent="0.35">
      <c r="A449" s="6"/>
      <c r="B449" s="9"/>
      <c r="C449" s="6"/>
      <c r="D449" s="6"/>
      <c r="E449" s="6"/>
      <c r="F449" s="6"/>
      <c r="G449" s="6"/>
      <c r="H449" s="6"/>
      <c r="I449" s="11" t="str">
        <f t="shared" si="12"/>
        <v/>
      </c>
      <c r="J449" s="11" t="str">
        <f t="shared" si="13"/>
        <v/>
      </c>
    </row>
    <row r="450" spans="1:10" x14ac:dyDescent="0.35">
      <c r="A450" s="6"/>
      <c r="B450" s="9"/>
      <c r="C450" s="6"/>
      <c r="D450" s="6"/>
      <c r="E450" s="6"/>
      <c r="F450" s="6"/>
      <c r="G450" s="6"/>
      <c r="H450" s="6"/>
      <c r="I450" s="11" t="str">
        <f t="shared" si="12"/>
        <v/>
      </c>
      <c r="J450" s="11" t="str">
        <f t="shared" si="13"/>
        <v/>
      </c>
    </row>
    <row r="451" spans="1:10" x14ac:dyDescent="0.35">
      <c r="A451" s="6"/>
      <c r="B451" s="9"/>
      <c r="C451" s="6"/>
      <c r="D451" s="6"/>
      <c r="E451" s="6"/>
      <c r="F451" s="6"/>
      <c r="G451" s="6"/>
      <c r="H451" s="6"/>
      <c r="I451" s="11" t="str">
        <f t="shared" si="12"/>
        <v/>
      </c>
      <c r="J451" s="11" t="str">
        <f t="shared" si="13"/>
        <v/>
      </c>
    </row>
    <row r="452" spans="1:10" x14ac:dyDescent="0.35">
      <c r="A452" s="6"/>
      <c r="B452" s="9"/>
      <c r="C452" s="6"/>
      <c r="D452" s="6"/>
      <c r="E452" s="6"/>
      <c r="F452" s="6"/>
      <c r="G452" s="6"/>
      <c r="H452" s="6"/>
      <c r="I452" s="11" t="str">
        <f t="shared" ref="I452:I501" si="14">IF(A452="","",IF(OR(B452="",C452="",D452="",E452="",F452="",G452=""),"MISSING FIELD","ENTERED"))</f>
        <v/>
      </c>
      <c r="J452" s="11" t="str">
        <f t="shared" ref="J452:J501" si="15">IF(A452="","",IF(OR(F452="",NOT(ISNUMBER(F452))),"CHECK HOURS",IF(F452&gt;16,"REVIEW","OK")))</f>
        <v/>
      </c>
    </row>
    <row r="453" spans="1:10" x14ac:dyDescent="0.35">
      <c r="A453" s="6"/>
      <c r="B453" s="9"/>
      <c r="C453" s="6"/>
      <c r="D453" s="6"/>
      <c r="E453" s="6"/>
      <c r="F453" s="6"/>
      <c r="G453" s="6"/>
      <c r="H453" s="6"/>
      <c r="I453" s="11" t="str">
        <f t="shared" si="14"/>
        <v/>
      </c>
      <c r="J453" s="11" t="str">
        <f t="shared" si="15"/>
        <v/>
      </c>
    </row>
    <row r="454" spans="1:10" x14ac:dyDescent="0.35">
      <c r="A454" s="6"/>
      <c r="B454" s="9"/>
      <c r="C454" s="6"/>
      <c r="D454" s="6"/>
      <c r="E454" s="6"/>
      <c r="F454" s="6"/>
      <c r="G454" s="6"/>
      <c r="H454" s="6"/>
      <c r="I454" s="11" t="str">
        <f t="shared" si="14"/>
        <v/>
      </c>
      <c r="J454" s="11" t="str">
        <f t="shared" si="15"/>
        <v/>
      </c>
    </row>
    <row r="455" spans="1:10" x14ac:dyDescent="0.35">
      <c r="A455" s="6"/>
      <c r="B455" s="9"/>
      <c r="C455" s="6"/>
      <c r="D455" s="6"/>
      <c r="E455" s="6"/>
      <c r="F455" s="6"/>
      <c r="G455" s="6"/>
      <c r="H455" s="6"/>
      <c r="I455" s="11" t="str">
        <f t="shared" si="14"/>
        <v/>
      </c>
      <c r="J455" s="11" t="str">
        <f t="shared" si="15"/>
        <v/>
      </c>
    </row>
    <row r="456" spans="1:10" x14ac:dyDescent="0.35">
      <c r="A456" s="6"/>
      <c r="B456" s="9"/>
      <c r="C456" s="6"/>
      <c r="D456" s="6"/>
      <c r="E456" s="6"/>
      <c r="F456" s="6"/>
      <c r="G456" s="6"/>
      <c r="H456" s="6"/>
      <c r="I456" s="11" t="str">
        <f t="shared" si="14"/>
        <v/>
      </c>
      <c r="J456" s="11" t="str">
        <f t="shared" si="15"/>
        <v/>
      </c>
    </row>
    <row r="457" spans="1:10" x14ac:dyDescent="0.35">
      <c r="A457" s="6"/>
      <c r="B457" s="9"/>
      <c r="C457" s="6"/>
      <c r="D457" s="6"/>
      <c r="E457" s="6"/>
      <c r="F457" s="6"/>
      <c r="G457" s="6"/>
      <c r="H457" s="6"/>
      <c r="I457" s="11" t="str">
        <f t="shared" si="14"/>
        <v/>
      </c>
      <c r="J457" s="11" t="str">
        <f t="shared" si="15"/>
        <v/>
      </c>
    </row>
    <row r="458" spans="1:10" x14ac:dyDescent="0.35">
      <c r="A458" s="6"/>
      <c r="B458" s="9"/>
      <c r="C458" s="6"/>
      <c r="D458" s="6"/>
      <c r="E458" s="6"/>
      <c r="F458" s="6"/>
      <c r="G458" s="6"/>
      <c r="H458" s="6"/>
      <c r="I458" s="11" t="str">
        <f t="shared" si="14"/>
        <v/>
      </c>
      <c r="J458" s="11" t="str">
        <f t="shared" si="15"/>
        <v/>
      </c>
    </row>
    <row r="459" spans="1:10" x14ac:dyDescent="0.35">
      <c r="A459" s="6"/>
      <c r="B459" s="9"/>
      <c r="C459" s="6"/>
      <c r="D459" s="6"/>
      <c r="E459" s="6"/>
      <c r="F459" s="6"/>
      <c r="G459" s="6"/>
      <c r="H459" s="6"/>
      <c r="I459" s="11" t="str">
        <f t="shared" si="14"/>
        <v/>
      </c>
      <c r="J459" s="11" t="str">
        <f t="shared" si="15"/>
        <v/>
      </c>
    </row>
    <row r="460" spans="1:10" x14ac:dyDescent="0.35">
      <c r="A460" s="6"/>
      <c r="B460" s="9"/>
      <c r="C460" s="6"/>
      <c r="D460" s="6"/>
      <c r="E460" s="6"/>
      <c r="F460" s="6"/>
      <c r="G460" s="6"/>
      <c r="H460" s="6"/>
      <c r="I460" s="11" t="str">
        <f t="shared" si="14"/>
        <v/>
      </c>
      <c r="J460" s="11" t="str">
        <f t="shared" si="15"/>
        <v/>
      </c>
    </row>
    <row r="461" spans="1:10" x14ac:dyDescent="0.35">
      <c r="A461" s="6"/>
      <c r="B461" s="9"/>
      <c r="C461" s="6"/>
      <c r="D461" s="6"/>
      <c r="E461" s="6"/>
      <c r="F461" s="6"/>
      <c r="G461" s="6"/>
      <c r="H461" s="6"/>
      <c r="I461" s="11" t="str">
        <f t="shared" si="14"/>
        <v/>
      </c>
      <c r="J461" s="11" t="str">
        <f t="shared" si="15"/>
        <v/>
      </c>
    </row>
    <row r="462" spans="1:10" x14ac:dyDescent="0.35">
      <c r="A462" s="6"/>
      <c r="B462" s="9"/>
      <c r="C462" s="6"/>
      <c r="D462" s="6"/>
      <c r="E462" s="6"/>
      <c r="F462" s="6"/>
      <c r="G462" s="6"/>
      <c r="H462" s="6"/>
      <c r="I462" s="11" t="str">
        <f t="shared" si="14"/>
        <v/>
      </c>
      <c r="J462" s="11" t="str">
        <f t="shared" si="15"/>
        <v/>
      </c>
    </row>
    <row r="463" spans="1:10" x14ac:dyDescent="0.35">
      <c r="A463" s="6"/>
      <c r="B463" s="9"/>
      <c r="C463" s="6"/>
      <c r="D463" s="6"/>
      <c r="E463" s="6"/>
      <c r="F463" s="6"/>
      <c r="G463" s="6"/>
      <c r="H463" s="6"/>
      <c r="I463" s="11" t="str">
        <f t="shared" si="14"/>
        <v/>
      </c>
      <c r="J463" s="11" t="str">
        <f t="shared" si="15"/>
        <v/>
      </c>
    </row>
    <row r="464" spans="1:10" x14ac:dyDescent="0.35">
      <c r="A464" s="6"/>
      <c r="B464" s="9"/>
      <c r="C464" s="6"/>
      <c r="D464" s="6"/>
      <c r="E464" s="6"/>
      <c r="F464" s="6"/>
      <c r="G464" s="6"/>
      <c r="H464" s="6"/>
      <c r="I464" s="11" t="str">
        <f t="shared" si="14"/>
        <v/>
      </c>
      <c r="J464" s="11" t="str">
        <f t="shared" si="15"/>
        <v/>
      </c>
    </row>
    <row r="465" spans="1:10" x14ac:dyDescent="0.35">
      <c r="A465" s="6"/>
      <c r="B465" s="9"/>
      <c r="C465" s="6"/>
      <c r="D465" s="6"/>
      <c r="E465" s="6"/>
      <c r="F465" s="6"/>
      <c r="G465" s="6"/>
      <c r="H465" s="6"/>
      <c r="I465" s="11" t="str">
        <f t="shared" si="14"/>
        <v/>
      </c>
      <c r="J465" s="11" t="str">
        <f t="shared" si="15"/>
        <v/>
      </c>
    </row>
    <row r="466" spans="1:10" x14ac:dyDescent="0.35">
      <c r="A466" s="6"/>
      <c r="B466" s="9"/>
      <c r="C466" s="6"/>
      <c r="D466" s="6"/>
      <c r="E466" s="6"/>
      <c r="F466" s="6"/>
      <c r="G466" s="6"/>
      <c r="H466" s="6"/>
      <c r="I466" s="11" t="str">
        <f t="shared" si="14"/>
        <v/>
      </c>
      <c r="J466" s="11" t="str">
        <f t="shared" si="15"/>
        <v/>
      </c>
    </row>
    <row r="467" spans="1:10" x14ac:dyDescent="0.35">
      <c r="A467" s="6"/>
      <c r="B467" s="9"/>
      <c r="C467" s="6"/>
      <c r="D467" s="6"/>
      <c r="E467" s="6"/>
      <c r="F467" s="6"/>
      <c r="G467" s="6"/>
      <c r="H467" s="6"/>
      <c r="I467" s="11" t="str">
        <f t="shared" si="14"/>
        <v/>
      </c>
      <c r="J467" s="11" t="str">
        <f t="shared" si="15"/>
        <v/>
      </c>
    </row>
    <row r="468" spans="1:10" x14ac:dyDescent="0.35">
      <c r="A468" s="6"/>
      <c r="B468" s="9"/>
      <c r="C468" s="6"/>
      <c r="D468" s="6"/>
      <c r="E468" s="6"/>
      <c r="F468" s="6"/>
      <c r="G468" s="6"/>
      <c r="H468" s="6"/>
      <c r="I468" s="11" t="str">
        <f t="shared" si="14"/>
        <v/>
      </c>
      <c r="J468" s="11" t="str">
        <f t="shared" si="15"/>
        <v/>
      </c>
    </row>
    <row r="469" spans="1:10" x14ac:dyDescent="0.35">
      <c r="A469" s="6"/>
      <c r="B469" s="9"/>
      <c r="C469" s="6"/>
      <c r="D469" s="6"/>
      <c r="E469" s="6"/>
      <c r="F469" s="6"/>
      <c r="G469" s="6"/>
      <c r="H469" s="6"/>
      <c r="I469" s="11" t="str">
        <f t="shared" si="14"/>
        <v/>
      </c>
      <c r="J469" s="11" t="str">
        <f t="shared" si="15"/>
        <v/>
      </c>
    </row>
    <row r="470" spans="1:10" x14ac:dyDescent="0.35">
      <c r="A470" s="6"/>
      <c r="B470" s="9"/>
      <c r="C470" s="6"/>
      <c r="D470" s="6"/>
      <c r="E470" s="6"/>
      <c r="F470" s="6"/>
      <c r="G470" s="6"/>
      <c r="H470" s="6"/>
      <c r="I470" s="11" t="str">
        <f t="shared" si="14"/>
        <v/>
      </c>
      <c r="J470" s="11" t="str">
        <f t="shared" si="15"/>
        <v/>
      </c>
    </row>
    <row r="471" spans="1:10" x14ac:dyDescent="0.35">
      <c r="A471" s="6"/>
      <c r="B471" s="9"/>
      <c r="C471" s="6"/>
      <c r="D471" s="6"/>
      <c r="E471" s="6"/>
      <c r="F471" s="6"/>
      <c r="G471" s="6"/>
      <c r="H471" s="6"/>
      <c r="I471" s="11" t="str">
        <f t="shared" si="14"/>
        <v/>
      </c>
      <c r="J471" s="11" t="str">
        <f t="shared" si="15"/>
        <v/>
      </c>
    </row>
    <row r="472" spans="1:10" x14ac:dyDescent="0.35">
      <c r="A472" s="6"/>
      <c r="B472" s="9"/>
      <c r="C472" s="6"/>
      <c r="D472" s="6"/>
      <c r="E472" s="6"/>
      <c r="F472" s="6"/>
      <c r="G472" s="6"/>
      <c r="H472" s="6"/>
      <c r="I472" s="11" t="str">
        <f t="shared" si="14"/>
        <v/>
      </c>
      <c r="J472" s="11" t="str">
        <f t="shared" si="15"/>
        <v/>
      </c>
    </row>
    <row r="473" spans="1:10" x14ac:dyDescent="0.35">
      <c r="A473" s="6"/>
      <c r="B473" s="9"/>
      <c r="C473" s="6"/>
      <c r="D473" s="6"/>
      <c r="E473" s="6"/>
      <c r="F473" s="6"/>
      <c r="G473" s="6"/>
      <c r="H473" s="6"/>
      <c r="I473" s="11" t="str">
        <f t="shared" si="14"/>
        <v/>
      </c>
      <c r="J473" s="11" t="str">
        <f t="shared" si="15"/>
        <v/>
      </c>
    </row>
    <row r="474" spans="1:10" x14ac:dyDescent="0.35">
      <c r="A474" s="6"/>
      <c r="B474" s="9"/>
      <c r="C474" s="6"/>
      <c r="D474" s="6"/>
      <c r="E474" s="6"/>
      <c r="F474" s="6"/>
      <c r="G474" s="6"/>
      <c r="H474" s="6"/>
      <c r="I474" s="11" t="str">
        <f t="shared" si="14"/>
        <v/>
      </c>
      <c r="J474" s="11" t="str">
        <f t="shared" si="15"/>
        <v/>
      </c>
    </row>
    <row r="475" spans="1:10" x14ac:dyDescent="0.35">
      <c r="A475" s="6"/>
      <c r="B475" s="9"/>
      <c r="C475" s="6"/>
      <c r="D475" s="6"/>
      <c r="E475" s="6"/>
      <c r="F475" s="6"/>
      <c r="G475" s="6"/>
      <c r="H475" s="6"/>
      <c r="I475" s="11" t="str">
        <f t="shared" si="14"/>
        <v/>
      </c>
      <c r="J475" s="11" t="str">
        <f t="shared" si="15"/>
        <v/>
      </c>
    </row>
    <row r="476" spans="1:10" x14ac:dyDescent="0.35">
      <c r="A476" s="6"/>
      <c r="B476" s="9"/>
      <c r="C476" s="6"/>
      <c r="D476" s="6"/>
      <c r="E476" s="6"/>
      <c r="F476" s="6"/>
      <c r="G476" s="6"/>
      <c r="H476" s="6"/>
      <c r="I476" s="11" t="str">
        <f t="shared" si="14"/>
        <v/>
      </c>
      <c r="J476" s="11" t="str">
        <f t="shared" si="15"/>
        <v/>
      </c>
    </row>
    <row r="477" spans="1:10" x14ac:dyDescent="0.35">
      <c r="A477" s="6"/>
      <c r="B477" s="9"/>
      <c r="C477" s="6"/>
      <c r="D477" s="6"/>
      <c r="E477" s="6"/>
      <c r="F477" s="6"/>
      <c r="G477" s="6"/>
      <c r="H477" s="6"/>
      <c r="I477" s="11" t="str">
        <f t="shared" si="14"/>
        <v/>
      </c>
      <c r="J477" s="11" t="str">
        <f t="shared" si="15"/>
        <v/>
      </c>
    </row>
    <row r="478" spans="1:10" x14ac:dyDescent="0.35">
      <c r="A478" s="6"/>
      <c r="B478" s="9"/>
      <c r="C478" s="6"/>
      <c r="D478" s="6"/>
      <c r="E478" s="6"/>
      <c r="F478" s="6"/>
      <c r="G478" s="6"/>
      <c r="H478" s="6"/>
      <c r="I478" s="11" t="str">
        <f t="shared" si="14"/>
        <v/>
      </c>
      <c r="J478" s="11" t="str">
        <f t="shared" si="15"/>
        <v/>
      </c>
    </row>
    <row r="479" spans="1:10" x14ac:dyDescent="0.35">
      <c r="A479" s="6"/>
      <c r="B479" s="9"/>
      <c r="C479" s="6"/>
      <c r="D479" s="6"/>
      <c r="E479" s="6"/>
      <c r="F479" s="6"/>
      <c r="G479" s="6"/>
      <c r="H479" s="6"/>
      <c r="I479" s="11" t="str">
        <f t="shared" si="14"/>
        <v/>
      </c>
      <c r="J479" s="11" t="str">
        <f t="shared" si="15"/>
        <v/>
      </c>
    </row>
    <row r="480" spans="1:10" x14ac:dyDescent="0.35">
      <c r="A480" s="6"/>
      <c r="B480" s="9"/>
      <c r="C480" s="6"/>
      <c r="D480" s="6"/>
      <c r="E480" s="6"/>
      <c r="F480" s="6"/>
      <c r="G480" s="6"/>
      <c r="H480" s="6"/>
      <c r="I480" s="11" t="str">
        <f t="shared" si="14"/>
        <v/>
      </c>
      <c r="J480" s="11" t="str">
        <f t="shared" si="15"/>
        <v/>
      </c>
    </row>
    <row r="481" spans="1:10" x14ac:dyDescent="0.35">
      <c r="A481" s="6"/>
      <c r="B481" s="9"/>
      <c r="C481" s="6"/>
      <c r="D481" s="6"/>
      <c r="E481" s="6"/>
      <c r="F481" s="6"/>
      <c r="G481" s="6"/>
      <c r="H481" s="6"/>
      <c r="I481" s="11" t="str">
        <f t="shared" si="14"/>
        <v/>
      </c>
      <c r="J481" s="11" t="str">
        <f t="shared" si="15"/>
        <v/>
      </c>
    </row>
    <row r="482" spans="1:10" x14ac:dyDescent="0.35">
      <c r="A482" s="6"/>
      <c r="B482" s="9"/>
      <c r="C482" s="6"/>
      <c r="D482" s="6"/>
      <c r="E482" s="6"/>
      <c r="F482" s="6"/>
      <c r="G482" s="6"/>
      <c r="H482" s="6"/>
      <c r="I482" s="11" t="str">
        <f t="shared" si="14"/>
        <v/>
      </c>
      <c r="J482" s="11" t="str">
        <f t="shared" si="15"/>
        <v/>
      </c>
    </row>
    <row r="483" spans="1:10" x14ac:dyDescent="0.35">
      <c r="A483" s="6"/>
      <c r="B483" s="9"/>
      <c r="C483" s="6"/>
      <c r="D483" s="6"/>
      <c r="E483" s="6"/>
      <c r="F483" s="6"/>
      <c r="G483" s="6"/>
      <c r="H483" s="6"/>
      <c r="I483" s="11" t="str">
        <f t="shared" si="14"/>
        <v/>
      </c>
      <c r="J483" s="11" t="str">
        <f t="shared" si="15"/>
        <v/>
      </c>
    </row>
    <row r="484" spans="1:10" x14ac:dyDescent="0.35">
      <c r="A484" s="6"/>
      <c r="B484" s="9"/>
      <c r="C484" s="6"/>
      <c r="D484" s="6"/>
      <c r="E484" s="6"/>
      <c r="F484" s="6"/>
      <c r="G484" s="6"/>
      <c r="H484" s="6"/>
      <c r="I484" s="11" t="str">
        <f t="shared" si="14"/>
        <v/>
      </c>
      <c r="J484" s="11" t="str">
        <f t="shared" si="15"/>
        <v/>
      </c>
    </row>
    <row r="485" spans="1:10" x14ac:dyDescent="0.35">
      <c r="A485" s="6"/>
      <c r="B485" s="9"/>
      <c r="C485" s="6"/>
      <c r="D485" s="6"/>
      <c r="E485" s="6"/>
      <c r="F485" s="6"/>
      <c r="G485" s="6"/>
      <c r="H485" s="6"/>
      <c r="I485" s="11" t="str">
        <f t="shared" si="14"/>
        <v/>
      </c>
      <c r="J485" s="11" t="str">
        <f t="shared" si="15"/>
        <v/>
      </c>
    </row>
    <row r="486" spans="1:10" x14ac:dyDescent="0.35">
      <c r="A486" s="6"/>
      <c r="B486" s="9"/>
      <c r="C486" s="6"/>
      <c r="D486" s="6"/>
      <c r="E486" s="6"/>
      <c r="F486" s="6"/>
      <c r="G486" s="6"/>
      <c r="H486" s="6"/>
      <c r="I486" s="11" t="str">
        <f t="shared" si="14"/>
        <v/>
      </c>
      <c r="J486" s="11" t="str">
        <f t="shared" si="15"/>
        <v/>
      </c>
    </row>
    <row r="487" spans="1:10" x14ac:dyDescent="0.35">
      <c r="A487" s="6"/>
      <c r="B487" s="9"/>
      <c r="C487" s="6"/>
      <c r="D487" s="6"/>
      <c r="E487" s="6"/>
      <c r="F487" s="6"/>
      <c r="G487" s="6"/>
      <c r="H487" s="6"/>
      <c r="I487" s="11" t="str">
        <f t="shared" si="14"/>
        <v/>
      </c>
      <c r="J487" s="11" t="str">
        <f t="shared" si="15"/>
        <v/>
      </c>
    </row>
    <row r="488" spans="1:10" x14ac:dyDescent="0.35">
      <c r="A488" s="6"/>
      <c r="B488" s="9"/>
      <c r="C488" s="6"/>
      <c r="D488" s="6"/>
      <c r="E488" s="6"/>
      <c r="F488" s="6"/>
      <c r="G488" s="6"/>
      <c r="H488" s="6"/>
      <c r="I488" s="11" t="str">
        <f t="shared" si="14"/>
        <v/>
      </c>
      <c r="J488" s="11" t="str">
        <f t="shared" si="15"/>
        <v/>
      </c>
    </row>
    <row r="489" spans="1:10" x14ac:dyDescent="0.35">
      <c r="A489" s="6"/>
      <c r="B489" s="9"/>
      <c r="C489" s="6"/>
      <c r="D489" s="6"/>
      <c r="E489" s="6"/>
      <c r="F489" s="6"/>
      <c r="G489" s="6"/>
      <c r="H489" s="6"/>
      <c r="I489" s="11" t="str">
        <f t="shared" si="14"/>
        <v/>
      </c>
      <c r="J489" s="11" t="str">
        <f t="shared" si="15"/>
        <v/>
      </c>
    </row>
    <row r="490" spans="1:10" x14ac:dyDescent="0.35">
      <c r="A490" s="6"/>
      <c r="B490" s="9"/>
      <c r="C490" s="6"/>
      <c r="D490" s="6"/>
      <c r="E490" s="6"/>
      <c r="F490" s="6"/>
      <c r="G490" s="6"/>
      <c r="H490" s="6"/>
      <c r="I490" s="11" t="str">
        <f t="shared" si="14"/>
        <v/>
      </c>
      <c r="J490" s="11" t="str">
        <f t="shared" si="15"/>
        <v/>
      </c>
    </row>
    <row r="491" spans="1:10" x14ac:dyDescent="0.35">
      <c r="A491" s="6"/>
      <c r="B491" s="9"/>
      <c r="C491" s="6"/>
      <c r="D491" s="6"/>
      <c r="E491" s="6"/>
      <c r="F491" s="6"/>
      <c r="G491" s="6"/>
      <c r="H491" s="6"/>
      <c r="I491" s="11" t="str">
        <f t="shared" si="14"/>
        <v/>
      </c>
      <c r="J491" s="11" t="str">
        <f t="shared" si="15"/>
        <v/>
      </c>
    </row>
    <row r="492" spans="1:10" x14ac:dyDescent="0.35">
      <c r="A492" s="6"/>
      <c r="B492" s="9"/>
      <c r="C492" s="6"/>
      <c r="D492" s="6"/>
      <c r="E492" s="6"/>
      <c r="F492" s="6"/>
      <c r="G492" s="6"/>
      <c r="H492" s="6"/>
      <c r="I492" s="11" t="str">
        <f t="shared" si="14"/>
        <v/>
      </c>
      <c r="J492" s="11" t="str">
        <f t="shared" si="15"/>
        <v/>
      </c>
    </row>
    <row r="493" spans="1:10" x14ac:dyDescent="0.35">
      <c r="A493" s="6"/>
      <c r="B493" s="9"/>
      <c r="C493" s="6"/>
      <c r="D493" s="6"/>
      <c r="E493" s="6"/>
      <c r="F493" s="6"/>
      <c r="G493" s="6"/>
      <c r="H493" s="6"/>
      <c r="I493" s="11" t="str">
        <f t="shared" si="14"/>
        <v/>
      </c>
      <c r="J493" s="11" t="str">
        <f t="shared" si="15"/>
        <v/>
      </c>
    </row>
    <row r="494" spans="1:10" x14ac:dyDescent="0.35">
      <c r="A494" s="6"/>
      <c r="B494" s="9"/>
      <c r="C494" s="6"/>
      <c r="D494" s="6"/>
      <c r="E494" s="6"/>
      <c r="F494" s="6"/>
      <c r="G494" s="6"/>
      <c r="H494" s="6"/>
      <c r="I494" s="11" t="str">
        <f t="shared" si="14"/>
        <v/>
      </c>
      <c r="J494" s="11" t="str">
        <f t="shared" si="15"/>
        <v/>
      </c>
    </row>
    <row r="495" spans="1:10" x14ac:dyDescent="0.35">
      <c r="A495" s="6"/>
      <c r="B495" s="9"/>
      <c r="C495" s="6"/>
      <c r="D495" s="6"/>
      <c r="E495" s="6"/>
      <c r="F495" s="6"/>
      <c r="G495" s="6"/>
      <c r="H495" s="6"/>
      <c r="I495" s="11" t="str">
        <f t="shared" si="14"/>
        <v/>
      </c>
      <c r="J495" s="11" t="str">
        <f t="shared" si="15"/>
        <v/>
      </c>
    </row>
    <row r="496" spans="1:10" x14ac:dyDescent="0.35">
      <c r="A496" s="6"/>
      <c r="B496" s="9"/>
      <c r="C496" s="6"/>
      <c r="D496" s="6"/>
      <c r="E496" s="6"/>
      <c r="F496" s="6"/>
      <c r="G496" s="6"/>
      <c r="H496" s="6"/>
      <c r="I496" s="11" t="str">
        <f t="shared" si="14"/>
        <v/>
      </c>
      <c r="J496" s="11" t="str">
        <f t="shared" si="15"/>
        <v/>
      </c>
    </row>
    <row r="497" spans="1:10" x14ac:dyDescent="0.35">
      <c r="A497" s="6"/>
      <c r="B497" s="9"/>
      <c r="C497" s="6"/>
      <c r="D497" s="6"/>
      <c r="E497" s="6"/>
      <c r="F497" s="6"/>
      <c r="G497" s="6"/>
      <c r="H497" s="6"/>
      <c r="I497" s="11" t="str">
        <f t="shared" si="14"/>
        <v/>
      </c>
      <c r="J497" s="11" t="str">
        <f t="shared" si="15"/>
        <v/>
      </c>
    </row>
    <row r="498" spans="1:10" x14ac:dyDescent="0.35">
      <c r="A498" s="6"/>
      <c r="B498" s="9"/>
      <c r="C498" s="6"/>
      <c r="D498" s="6"/>
      <c r="E498" s="6"/>
      <c r="F498" s="6"/>
      <c r="G498" s="6"/>
      <c r="H498" s="6"/>
      <c r="I498" s="11" t="str">
        <f t="shared" si="14"/>
        <v/>
      </c>
      <c r="J498" s="11" t="str">
        <f t="shared" si="15"/>
        <v/>
      </c>
    </row>
    <row r="499" spans="1:10" x14ac:dyDescent="0.35">
      <c r="A499" s="6"/>
      <c r="B499" s="9"/>
      <c r="C499" s="6"/>
      <c r="D499" s="6"/>
      <c r="E499" s="6"/>
      <c r="F499" s="6"/>
      <c r="G499" s="6"/>
      <c r="H499" s="6"/>
      <c r="I499" s="11" t="str">
        <f t="shared" si="14"/>
        <v/>
      </c>
      <c r="J499" s="11" t="str">
        <f t="shared" si="15"/>
        <v/>
      </c>
    </row>
    <row r="500" spans="1:10" x14ac:dyDescent="0.35">
      <c r="A500" s="6"/>
      <c r="B500" s="9"/>
      <c r="C500" s="6"/>
      <c r="D500" s="6"/>
      <c r="E500" s="6"/>
      <c r="F500" s="6"/>
      <c r="G500" s="6"/>
      <c r="H500" s="6"/>
      <c r="I500" s="11" t="str">
        <f t="shared" si="14"/>
        <v/>
      </c>
      <c r="J500" s="11" t="str">
        <f t="shared" si="15"/>
        <v/>
      </c>
    </row>
    <row r="501" spans="1:10" x14ac:dyDescent="0.35">
      <c r="A501" s="6"/>
      <c r="B501" s="9"/>
      <c r="C501" s="6"/>
      <c r="D501" s="6"/>
      <c r="E501" s="6"/>
      <c r="F501" s="6"/>
      <c r="G501" s="6"/>
      <c r="H501" s="6"/>
      <c r="I501" s="11" t="str">
        <f t="shared" si="14"/>
        <v/>
      </c>
      <c r="J501" s="11" t="str">
        <f t="shared" si="15"/>
        <v/>
      </c>
    </row>
  </sheetData>
  <mergeCells count="2">
    <mergeCell ref="A2:F2"/>
    <mergeCell ref="A1:J1"/>
  </mergeCells>
  <conditionalFormatting sqref="I4:I501">
    <cfRule type="expression" dxfId="20" priority="1">
      <formula>$I4="MISSING FIELD"</formula>
    </cfRule>
  </conditionalFormatting>
  <conditionalFormatting sqref="J4:J501">
    <cfRule type="expression" dxfId="19" priority="2">
      <formula>$J4="CHECK HOURS"</formula>
    </cfRule>
    <cfRule type="expression" dxfId="18" priority="3">
      <formula>$J4="REVIEW"</formula>
    </cfRule>
    <cfRule type="expression" dxfId="17" priority="4">
      <formula>$J4="OK"</formula>
    </cfRule>
  </conditionalFormatting>
  <dataValidations count="6">
    <dataValidation type="list" allowBlank="1" sqref="C4:C501" xr:uid="{00000000-0002-0000-0300-000000000000}">
      <formula1>LinemanList</formula1>
    </dataValidation>
    <dataValidation type="list" allowBlank="1" sqref="D4:D501" xr:uid="{00000000-0002-0000-0300-000001000000}">
      <formula1>ForemanList</formula1>
    </dataValidation>
    <dataValidation type="list" allowBlank="1" sqref="E4:E501" xr:uid="{00000000-0002-0000-0300-000002000000}">
      <formula1>JobTypeList</formula1>
    </dataValidation>
    <dataValidation type="decimal" allowBlank="1" sqref="F4:F501" xr:uid="{00000000-0002-0000-0300-000003000000}">
      <formula1>0</formula1>
      <formula2>24</formula2>
    </dataValidation>
    <dataValidation type="list" allowBlank="1" sqref="G4:G501" xr:uid="{00000000-0002-0000-0300-000004000000}">
      <formula1>AreaList</formula1>
    </dataValidation>
    <dataValidation type="date" allowBlank="1" sqref="B4:B501" xr:uid="{00000000-0002-0000-0300-000005000000}">
      <formula1>DATE(2025,1,1)</formula1>
      <formula2>DATE(2030,12,31)</formula2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showGridLines="0" workbookViewId="0">
      <selection sqref="A1:K1"/>
    </sheetView>
  </sheetViews>
  <sheetFormatPr defaultRowHeight="14.5" x14ac:dyDescent="0.35"/>
  <cols>
    <col min="1" max="1" width="14" customWidth="1"/>
    <col min="2" max="2" width="12" customWidth="1"/>
    <col min="3" max="3" width="16" customWidth="1"/>
    <col min="4" max="5" width="18" customWidth="1"/>
    <col min="6" max="6" width="14" customWidth="1"/>
    <col min="7" max="7" width="12" customWidth="1"/>
    <col min="8" max="8" width="14" customWidth="1"/>
    <col min="9" max="10" width="12" customWidth="1"/>
    <col min="11" max="11" width="14" customWidth="1"/>
  </cols>
  <sheetData>
    <row r="1" spans="1:11" ht="21" x14ac:dyDescent="0.35">
      <c r="A1" s="35" t="s">
        <v>84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1" x14ac:dyDescent="0.35">
      <c r="A3" s="3" t="s">
        <v>48</v>
      </c>
      <c r="B3" s="3" t="s">
        <v>51</v>
      </c>
      <c r="C3" s="3" t="s">
        <v>85</v>
      </c>
      <c r="D3" s="3" t="s">
        <v>86</v>
      </c>
      <c r="E3" s="3" t="s">
        <v>18</v>
      </c>
      <c r="F3" s="3" t="s">
        <v>56</v>
      </c>
      <c r="G3" s="3" t="s">
        <v>87</v>
      </c>
      <c r="H3" s="3" t="s">
        <v>19</v>
      </c>
      <c r="I3" s="3" t="s">
        <v>88</v>
      </c>
      <c r="J3" s="3" t="s">
        <v>89</v>
      </c>
      <c r="K3" s="3" t="s">
        <v>90</v>
      </c>
    </row>
    <row r="4" spans="1:11" x14ac:dyDescent="0.35">
      <c r="A4" s="12" t="str">
        <f>IF(Form_Raw_Data!A4="","",Form_Raw_Data!A4)</f>
        <v>TT001</v>
      </c>
      <c r="B4" s="13">
        <f>IF(A4="","",Form_Raw_Data!B4)</f>
        <v>46082</v>
      </c>
      <c r="C4" s="14" t="str">
        <f>IF(A4="","",UPPER(TRIM(Form_Raw_Data!C4)))</f>
        <v>MIKE</v>
      </c>
      <c r="D4" s="14" t="str">
        <f>IF(A4="","",UPPER(TRIM(Form_Raw_Data!D4)))</f>
        <v>ADAMS</v>
      </c>
      <c r="E4" s="14" t="str">
        <f>IF(A4="","",TRIM(Form_Raw_Data!E4))</f>
        <v>Repair</v>
      </c>
      <c r="F4" s="12" t="str">
        <f>IF(A4="","",IF(Form_Raw_Data!F4="","",Form_Raw_Data!F4&amp;""))</f>
        <v>8</v>
      </c>
      <c r="G4" s="14">
        <f>IF(A4="","",IF(ISNUMBER(Form_Raw_Data!F4),IF(AND(Form_Raw_Data!F4&gt;=0,Form_Raw_Data!F4&lt;=24),Form_Raw_Data!F4,""),""))</f>
        <v>8</v>
      </c>
      <c r="H4" s="14" t="str">
        <f>IF(A4="","",TRIM(Form_Raw_Data!G4))</f>
        <v>Zone A</v>
      </c>
      <c r="I4" s="15" t="str">
        <f t="shared" ref="I4:I67" si="0">IF(A4="","",IF(OR(C4="",D4="",E4="",H4="",G4=""),"ERROR","OK"))</f>
        <v>OK</v>
      </c>
      <c r="J4" s="15" t="str">
        <f>IF(A4="","",IF(COUNTIF(Lists!$A$4:$A$53,C4)&gt;0,"YES","NO"))</f>
        <v>YES</v>
      </c>
      <c r="K4" s="15" t="str">
        <f>IF(A4="","",IF(COUNTIF(Lists!$I$4:$I$53,D4)&gt;0,"YES","NO"))</f>
        <v>YES</v>
      </c>
    </row>
    <row r="5" spans="1:11" x14ac:dyDescent="0.35">
      <c r="A5" s="12" t="str">
        <f>IF(Form_Raw_Data!A5="","",Form_Raw_Data!A5)</f>
        <v>TT002</v>
      </c>
      <c r="B5" s="13">
        <f>IF(A5="","",Form_Raw_Data!B5)</f>
        <v>46082</v>
      </c>
      <c r="C5" s="14" t="str">
        <f>IF(A5="","",UPPER(TRIM(Form_Raw_Data!C5)))</f>
        <v>MIKE</v>
      </c>
      <c r="D5" s="14" t="str">
        <f>IF(A5="","",UPPER(TRIM(Form_Raw_Data!D5)))</f>
        <v>ADAMS</v>
      </c>
      <c r="E5" s="14" t="str">
        <f>IF(A5="","",TRIM(Form_Raw_Data!E5))</f>
        <v>Repair</v>
      </c>
      <c r="F5" s="12" t="str">
        <f>IF(A5="","",IF(Form_Raw_Data!F5="","",Form_Raw_Data!F5&amp;""))</f>
        <v>10</v>
      </c>
      <c r="G5" s="14">
        <f>IF(A5="","",IF(ISNUMBER(Form_Raw_Data!F5),IF(AND(Form_Raw_Data!F5&gt;=0,Form_Raw_Data!F5&lt;=24),Form_Raw_Data!F5,""),""))</f>
        <v>10</v>
      </c>
      <c r="H5" s="14" t="str">
        <f>IF(A5="","",TRIM(Form_Raw_Data!G5))</f>
        <v>Zone A</v>
      </c>
      <c r="I5" s="15" t="str">
        <f t="shared" si="0"/>
        <v>OK</v>
      </c>
      <c r="J5" s="15" t="str">
        <f>IF(A5="","",IF(COUNTIF(Lists!$A$4:$A$53,C5)&gt;0,"YES","NO"))</f>
        <v>YES</v>
      </c>
      <c r="K5" s="15" t="str">
        <f>IF(A5="","",IF(COUNTIF(Lists!$I$4:$I$53,D5)&gt;0,"YES","NO"))</f>
        <v>YES</v>
      </c>
    </row>
    <row r="6" spans="1:11" x14ac:dyDescent="0.35">
      <c r="A6" s="12" t="str">
        <f>IF(Form_Raw_Data!A6="","",Form_Raw_Data!A6)</f>
        <v>TT003</v>
      </c>
      <c r="B6" s="13">
        <f>IF(A6="","",Form_Raw_Data!B6)</f>
        <v>46082</v>
      </c>
      <c r="C6" s="14" t="str">
        <f>IF(A6="","",UPPER(TRIM(Form_Raw_Data!C6)))</f>
        <v>MIKE</v>
      </c>
      <c r="D6" s="14" t="str">
        <f>IF(A6="","",UPPER(TRIM(Form_Raw_Data!D6)))</f>
        <v>RIVERA</v>
      </c>
      <c r="E6" s="14" t="str">
        <f>IF(A6="","",TRIM(Form_Raw_Data!E6))</f>
        <v>Install</v>
      </c>
      <c r="F6" s="12" t="str">
        <f>IF(A6="","",IF(Form_Raw_Data!F6="","",Form_Raw_Data!F6&amp;""))</f>
        <v>12</v>
      </c>
      <c r="G6" s="14">
        <f>IF(A6="","",IF(ISNUMBER(Form_Raw_Data!F6),IF(AND(Form_Raw_Data!F6&gt;=0,Form_Raw_Data!F6&lt;=24),Form_Raw_Data!F6,""),""))</f>
        <v>12</v>
      </c>
      <c r="H6" s="14" t="str">
        <f>IF(A6="","",TRIM(Form_Raw_Data!G6))</f>
        <v>Zone B</v>
      </c>
      <c r="I6" s="15" t="str">
        <f t="shared" si="0"/>
        <v>OK</v>
      </c>
      <c r="J6" s="15" t="str">
        <f>IF(A6="","",IF(COUNTIF(Lists!$A$4:$A$53,C6)&gt;0,"YES","NO"))</f>
        <v>YES</v>
      </c>
      <c r="K6" s="15" t="str">
        <f>IF(A6="","",IF(COUNTIF(Lists!$I$4:$I$53,D6)&gt;0,"YES","NO"))</f>
        <v>YES</v>
      </c>
    </row>
    <row r="7" spans="1:11" x14ac:dyDescent="0.35">
      <c r="A7" s="12" t="str">
        <f>IF(Form_Raw_Data!A7="","",Form_Raw_Data!A7)</f>
        <v>TT004</v>
      </c>
      <c r="B7" s="13">
        <f>IF(A7="","",Form_Raw_Data!B7)</f>
        <v>46083</v>
      </c>
      <c r="C7" s="14" t="str">
        <f>IF(A7="","",UPPER(TRIM(Form_Raw_Data!C7)))</f>
        <v>SARAH</v>
      </c>
      <c r="D7" s="14" t="str">
        <f>IF(A7="","",UPPER(TRIM(Form_Raw_Data!D7)))</f>
        <v>ADAMS</v>
      </c>
      <c r="E7" s="14" t="str">
        <f>IF(A7="","",TRIM(Form_Raw_Data!E7))</f>
        <v>Repair</v>
      </c>
      <c r="F7" s="12" t="str">
        <f>IF(A7="","",IF(Form_Raw_Data!F7="","",Form_Raw_Data!F7&amp;""))</f>
        <v/>
      </c>
      <c r="G7" s="14" t="str">
        <f>IF(A7="","",IF(ISNUMBER(Form_Raw_Data!F7),IF(AND(Form_Raw_Data!F7&gt;=0,Form_Raw_Data!F7&lt;=24),Form_Raw_Data!F7,""),""))</f>
        <v/>
      </c>
      <c r="H7" s="14" t="str">
        <f>IF(A7="","",TRIM(Form_Raw_Data!G7))</f>
        <v>Zone B</v>
      </c>
      <c r="I7" s="15" t="str">
        <f t="shared" si="0"/>
        <v>ERROR</v>
      </c>
      <c r="J7" s="15" t="str">
        <f>IF(A7="","",IF(COUNTIF(Lists!$A$4:$A$53,C7)&gt;0,"YES","NO"))</f>
        <v>YES</v>
      </c>
      <c r="K7" s="15" t="str">
        <f>IF(A7="","",IF(COUNTIF(Lists!$I$4:$I$53,D7)&gt;0,"YES","NO"))</f>
        <v>YES</v>
      </c>
    </row>
    <row r="8" spans="1:11" x14ac:dyDescent="0.35">
      <c r="A8" s="12" t="str">
        <f>IF(Form_Raw_Data!A8="","",Form_Raw_Data!A8)</f>
        <v>TT005</v>
      </c>
      <c r="B8" s="13">
        <f>IF(A8="","",Form_Raw_Data!B8)</f>
        <v>46083</v>
      </c>
      <c r="C8" s="14" t="str">
        <f>IF(A8="","",UPPER(TRIM(Form_Raw_Data!C8)))</f>
        <v>JOHN</v>
      </c>
      <c r="D8" s="14" t="str">
        <f>IF(A8="","",UPPER(TRIM(Form_Raw_Data!D8)))</f>
        <v>RIVERA</v>
      </c>
      <c r="E8" s="14" t="str">
        <f>IF(A8="","",TRIM(Form_Raw_Data!E8))</f>
        <v>Repair</v>
      </c>
      <c r="F8" s="12" t="str">
        <f>IF(A8="","",IF(Form_Raw_Data!F8="","",Form_Raw_Data!F8&amp;""))</f>
        <v>25</v>
      </c>
      <c r="G8" s="14" t="str">
        <f>IF(A8="","",IF(ISNUMBER(Form_Raw_Data!F8),IF(AND(Form_Raw_Data!F8&gt;=0,Form_Raw_Data!F8&lt;=24),Form_Raw_Data!F8,""),""))</f>
        <v/>
      </c>
      <c r="H8" s="14" t="str">
        <f>IF(A8="","",TRIM(Form_Raw_Data!G8))</f>
        <v>Zone C</v>
      </c>
      <c r="I8" s="15" t="str">
        <f t="shared" si="0"/>
        <v>ERROR</v>
      </c>
      <c r="J8" s="15" t="str">
        <f>IF(A8="","",IF(COUNTIF(Lists!$A$4:$A$53,C8)&gt;0,"YES","NO"))</f>
        <v>YES</v>
      </c>
      <c r="K8" s="15" t="str">
        <f>IF(A8="","",IF(COUNTIF(Lists!$I$4:$I$53,D8)&gt;0,"YES","NO"))</f>
        <v>YES</v>
      </c>
    </row>
    <row r="9" spans="1:11" x14ac:dyDescent="0.35">
      <c r="A9" s="12" t="str">
        <f>IF(Form_Raw_Data!A9="","",Form_Raw_Data!A9)</f>
        <v>TT006</v>
      </c>
      <c r="B9" s="13">
        <f>IF(A9="","",Form_Raw_Data!B9)</f>
        <v>46083</v>
      </c>
      <c r="C9" s="14" t="str">
        <f>IF(A9="","",UPPER(TRIM(Form_Raw_Data!C9)))</f>
        <v/>
      </c>
      <c r="D9" s="14" t="str">
        <f>IF(A9="","",UPPER(TRIM(Form_Raw_Data!D9)))</f>
        <v>ADAMS</v>
      </c>
      <c r="E9" s="14" t="str">
        <f>IF(A9="","",TRIM(Form_Raw_Data!E9))</f>
        <v>Safety</v>
      </c>
      <c r="F9" s="12" t="str">
        <f>IF(A9="","",IF(Form_Raw_Data!F9="","",Form_Raw_Data!F9&amp;""))</f>
        <v>6</v>
      </c>
      <c r="G9" s="14">
        <f>IF(A9="","",IF(ISNUMBER(Form_Raw_Data!F9),IF(AND(Form_Raw_Data!F9&gt;=0,Form_Raw_Data!F9&lt;=24),Form_Raw_Data!F9,""),""))</f>
        <v>6</v>
      </c>
      <c r="H9" s="14" t="str">
        <f>IF(A9="","",TRIM(Form_Raw_Data!G9))</f>
        <v>Zone A</v>
      </c>
      <c r="I9" s="15" t="str">
        <f t="shared" si="0"/>
        <v>ERROR</v>
      </c>
      <c r="J9" s="15" t="str">
        <f>IF(A9="","",IF(COUNTIF(Lists!$A$4:$A$53,C9)&gt;0,"YES","NO"))</f>
        <v>YES</v>
      </c>
      <c r="K9" s="15" t="str">
        <f>IF(A9="","",IF(COUNTIF(Lists!$I$4:$I$53,D9)&gt;0,"YES","NO"))</f>
        <v>YES</v>
      </c>
    </row>
    <row r="10" spans="1:11" x14ac:dyDescent="0.35">
      <c r="A10" s="12" t="str">
        <f>IF(Form_Raw_Data!A10="","",Form_Raw_Data!A10)</f>
        <v>TT007</v>
      </c>
      <c r="B10" s="13">
        <f>IF(A10="","",Form_Raw_Data!B10)</f>
        <v>46084</v>
      </c>
      <c r="C10" s="14" t="str">
        <f>IF(A10="","",UPPER(TRIM(Form_Raw_Data!C10)))</f>
        <v>CHRIS</v>
      </c>
      <c r="D10" s="14" t="str">
        <f>IF(A10="","",UPPER(TRIM(Form_Raw_Data!D10)))</f>
        <v>ADAMS</v>
      </c>
      <c r="E10" s="14" t="str">
        <f>IF(A10="","",TRIM(Form_Raw_Data!E10))</f>
        <v/>
      </c>
      <c r="F10" s="12" t="str">
        <f>IF(A10="","",IF(Form_Raw_Data!F10="","",Form_Raw_Data!F10&amp;""))</f>
        <v>8</v>
      </c>
      <c r="G10" s="14">
        <f>IF(A10="","",IF(ISNUMBER(Form_Raw_Data!F10),IF(AND(Form_Raw_Data!F10&gt;=0,Form_Raw_Data!F10&lt;=24),Form_Raw_Data!F10,""),""))</f>
        <v>8</v>
      </c>
      <c r="H10" s="14" t="str">
        <f>IF(A10="","",TRIM(Form_Raw_Data!G10))</f>
        <v>Zone B</v>
      </c>
      <c r="I10" s="15" t="str">
        <f t="shared" si="0"/>
        <v>ERROR</v>
      </c>
      <c r="J10" s="15" t="str">
        <f>IF(A10="","",IF(COUNTIF(Lists!$A$4:$A$53,C10)&gt;0,"YES","NO"))</f>
        <v>YES</v>
      </c>
      <c r="K10" s="15" t="str">
        <f>IF(A10="","",IF(COUNTIF(Lists!$I$4:$I$53,D10)&gt;0,"YES","NO"))</f>
        <v>YES</v>
      </c>
    </row>
    <row r="11" spans="1:11" x14ac:dyDescent="0.35">
      <c r="A11" s="12" t="str">
        <f>IF(Form_Raw_Data!A11="","",Form_Raw_Data!A11)</f>
        <v>TT008</v>
      </c>
      <c r="B11" s="13">
        <f>IF(A11="","",Form_Raw_Data!B11)</f>
        <v>46084</v>
      </c>
      <c r="C11" s="14" t="str">
        <f>IF(A11="","",UPPER(TRIM(Form_Raw_Data!C11)))</f>
        <v>CHRIS</v>
      </c>
      <c r="D11" s="14" t="str">
        <f>IF(A11="","",UPPER(TRIM(Form_Raw_Data!D11)))</f>
        <v>ADAMS</v>
      </c>
      <c r="E11" s="14" t="str">
        <f>IF(A11="","",TRIM(Form_Raw_Data!E11))</f>
        <v>Repair</v>
      </c>
      <c r="F11" s="12" t="str">
        <f>IF(A11="","",IF(Form_Raw_Data!F11="","",Form_Raw_Data!F11&amp;""))</f>
        <v>eight</v>
      </c>
      <c r="G11" s="14" t="str">
        <f>IF(A11="","",IF(ISNUMBER(Form_Raw_Data!F11),IF(AND(Form_Raw_Data!F11&gt;=0,Form_Raw_Data!F11&lt;=24),Form_Raw_Data!F11,""),""))</f>
        <v/>
      </c>
      <c r="H11" s="14" t="str">
        <f>IF(A11="","",TRIM(Form_Raw_Data!G11))</f>
        <v>Zone B</v>
      </c>
      <c r="I11" s="15" t="str">
        <f t="shared" si="0"/>
        <v>ERROR</v>
      </c>
      <c r="J11" s="15" t="str">
        <f>IF(A11="","",IF(COUNTIF(Lists!$A$4:$A$53,C11)&gt;0,"YES","NO"))</f>
        <v>YES</v>
      </c>
      <c r="K11" s="15" t="str">
        <f>IF(A11="","",IF(COUNTIF(Lists!$I$4:$I$53,D11)&gt;0,"YES","NO"))</f>
        <v>YES</v>
      </c>
    </row>
    <row r="12" spans="1:11" x14ac:dyDescent="0.35">
      <c r="A12" s="12" t="str">
        <f>IF(Form_Raw_Data!A12="","",Form_Raw_Data!A12)</f>
        <v>TT009</v>
      </c>
      <c r="B12" s="13">
        <f>IF(A12="","",Form_Raw_Data!B12)</f>
        <v>46085</v>
      </c>
      <c r="C12" s="14" t="str">
        <f>IF(A12="","",UPPER(TRIM(Form_Raw_Data!C12)))</f>
        <v>TONY</v>
      </c>
      <c r="D12" s="14" t="str">
        <f>IF(A12="","",UPPER(TRIM(Form_Raw_Data!D12)))</f>
        <v>BLAKE</v>
      </c>
      <c r="E12" s="14" t="str">
        <f>IF(A12="","",TRIM(Form_Raw_Data!E12))</f>
        <v>Trouble Ticket</v>
      </c>
      <c r="F12" s="12" t="str">
        <f>IF(A12="","",IF(Form_Raw_Data!F12="","",Form_Raw_Data!F12&amp;""))</f>
        <v>7</v>
      </c>
      <c r="G12" s="14">
        <f>IF(A12="","",IF(ISNUMBER(Form_Raw_Data!F12),IF(AND(Form_Raw_Data!F12&gt;=0,Form_Raw_Data!F12&lt;=24),Form_Raw_Data!F12,""),""))</f>
        <v>7</v>
      </c>
      <c r="H12" s="14" t="str">
        <f>IF(A12="","",TRIM(Form_Raw_Data!G12))</f>
        <v>Zone C</v>
      </c>
      <c r="I12" s="15" t="str">
        <f t="shared" si="0"/>
        <v>OK</v>
      </c>
      <c r="J12" s="15" t="str">
        <f>IF(A12="","",IF(COUNTIF(Lists!$A$4:$A$53,C12)&gt;0,"YES","NO"))</f>
        <v>NO</v>
      </c>
      <c r="K12" s="15" t="str">
        <f>IF(A12="","",IF(COUNTIF(Lists!$I$4:$I$53,D12)&gt;0,"YES","NO"))</f>
        <v>YES</v>
      </c>
    </row>
    <row r="13" spans="1:11" x14ac:dyDescent="0.35">
      <c r="A13" s="12" t="str">
        <f>IF(Form_Raw_Data!A13="","",Form_Raw_Data!A13)</f>
        <v>TT010</v>
      </c>
      <c r="B13" s="13">
        <f>IF(A13="","",Form_Raw_Data!B13)</f>
        <v>46085</v>
      </c>
      <c r="C13" s="14" t="str">
        <f>IF(A13="","",UPPER(TRIM(Form_Raw_Data!C13)))</f>
        <v>ANNA</v>
      </c>
      <c r="D13" s="14" t="str">
        <f>IF(A13="","",UPPER(TRIM(Form_Raw_Data!D13)))</f>
        <v/>
      </c>
      <c r="E13" s="14" t="str">
        <f>IF(A13="","",TRIM(Form_Raw_Data!E13))</f>
        <v>Install</v>
      </c>
      <c r="F13" s="12" t="str">
        <f>IF(A13="","",IF(Form_Raw_Data!F13="","",Form_Raw_Data!F13&amp;""))</f>
        <v>9</v>
      </c>
      <c r="G13" s="14">
        <f>IF(A13="","",IF(ISNUMBER(Form_Raw_Data!F13),IF(AND(Form_Raw_Data!F13&gt;=0,Form_Raw_Data!F13&lt;=24),Form_Raw_Data!F13,""),""))</f>
        <v>9</v>
      </c>
      <c r="H13" s="14" t="str">
        <f>IF(A13="","",TRIM(Form_Raw_Data!G13))</f>
        <v>Zone D</v>
      </c>
      <c r="I13" s="15" t="str">
        <f t="shared" si="0"/>
        <v>ERROR</v>
      </c>
      <c r="J13" s="15" t="str">
        <f>IF(A13="","",IF(COUNTIF(Lists!$A$4:$A$53,C13)&gt;0,"YES","NO"))</f>
        <v>YES</v>
      </c>
      <c r="K13" s="15" t="str">
        <f>IF(A13="","",IF(COUNTIF(Lists!$I$4:$I$53,D13)&gt;0,"YES","NO"))</f>
        <v>YES</v>
      </c>
    </row>
    <row r="14" spans="1:11" x14ac:dyDescent="0.35">
      <c r="A14" s="12" t="str">
        <f>IF(Form_Raw_Data!A14="","",Form_Raw_Data!A14)</f>
        <v/>
      </c>
      <c r="B14" s="13" t="str">
        <f>IF(A14="","",Form_Raw_Data!B14)</f>
        <v/>
      </c>
      <c r="C14" s="14" t="str">
        <f>IF(A14="","",UPPER(TRIM(Form_Raw_Data!C14)))</f>
        <v/>
      </c>
      <c r="D14" s="14" t="str">
        <f>IF(A14="","",UPPER(TRIM(Form_Raw_Data!D14)))</f>
        <v/>
      </c>
      <c r="E14" s="14" t="str">
        <f>IF(A14="","",TRIM(Form_Raw_Data!E14))</f>
        <v/>
      </c>
      <c r="F14" s="12" t="str">
        <f>IF(A14="","",IF(Form_Raw_Data!F14="","",Form_Raw_Data!F14&amp;""))</f>
        <v/>
      </c>
      <c r="G14" s="14" t="str">
        <f>IF(A14="","",IF(ISNUMBER(Form_Raw_Data!F14),IF(AND(Form_Raw_Data!F14&gt;=0,Form_Raw_Data!F14&lt;=24),Form_Raw_Data!F14,""),""))</f>
        <v/>
      </c>
      <c r="H14" s="14" t="str">
        <f>IF(A14="","",TRIM(Form_Raw_Data!G14))</f>
        <v/>
      </c>
      <c r="I14" s="15" t="str">
        <f t="shared" si="0"/>
        <v/>
      </c>
      <c r="J14" s="15" t="str">
        <f>IF(A14="","",IF(COUNTIF(Lists!$A$4:$A$53,C14)&gt;0,"YES","NO"))</f>
        <v/>
      </c>
      <c r="K14" s="15" t="str">
        <f>IF(A14="","",IF(COUNTIF(Lists!$I$4:$I$53,D14)&gt;0,"YES","NO"))</f>
        <v/>
      </c>
    </row>
    <row r="15" spans="1:11" x14ac:dyDescent="0.35">
      <c r="A15" s="12" t="str">
        <f>IF(Form_Raw_Data!A15="","",Form_Raw_Data!A15)</f>
        <v/>
      </c>
      <c r="B15" s="13" t="str">
        <f>IF(A15="","",Form_Raw_Data!B15)</f>
        <v/>
      </c>
      <c r="C15" s="14" t="str">
        <f>IF(A15="","",UPPER(TRIM(Form_Raw_Data!C15)))</f>
        <v/>
      </c>
      <c r="D15" s="14" t="str">
        <f>IF(A15="","",UPPER(TRIM(Form_Raw_Data!D15)))</f>
        <v/>
      </c>
      <c r="E15" s="14" t="str">
        <f>IF(A15="","",TRIM(Form_Raw_Data!E15))</f>
        <v/>
      </c>
      <c r="F15" s="12" t="str">
        <f>IF(A15="","",IF(Form_Raw_Data!F15="","",Form_Raw_Data!F15&amp;""))</f>
        <v/>
      </c>
      <c r="G15" s="14" t="str">
        <f>IF(A15="","",IF(ISNUMBER(Form_Raw_Data!F15),IF(AND(Form_Raw_Data!F15&gt;=0,Form_Raw_Data!F15&lt;=24),Form_Raw_Data!F15,""),""))</f>
        <v/>
      </c>
      <c r="H15" s="14" t="str">
        <f>IF(A15="","",TRIM(Form_Raw_Data!G15))</f>
        <v/>
      </c>
      <c r="I15" s="15" t="str">
        <f t="shared" si="0"/>
        <v/>
      </c>
      <c r="J15" s="15" t="str">
        <f>IF(A15="","",IF(COUNTIF(Lists!$A$4:$A$53,C15)&gt;0,"YES","NO"))</f>
        <v/>
      </c>
      <c r="K15" s="15" t="str">
        <f>IF(A15="","",IF(COUNTIF(Lists!$I$4:$I$53,D15)&gt;0,"YES","NO"))</f>
        <v/>
      </c>
    </row>
    <row r="16" spans="1:11" x14ac:dyDescent="0.35">
      <c r="A16" s="12" t="str">
        <f>IF(Form_Raw_Data!A16="","",Form_Raw_Data!A16)</f>
        <v/>
      </c>
      <c r="B16" s="13" t="str">
        <f>IF(A16="","",Form_Raw_Data!B16)</f>
        <v/>
      </c>
      <c r="C16" s="14" t="str">
        <f>IF(A16="","",UPPER(TRIM(Form_Raw_Data!C16)))</f>
        <v/>
      </c>
      <c r="D16" s="14" t="str">
        <f>IF(A16="","",UPPER(TRIM(Form_Raw_Data!D16)))</f>
        <v/>
      </c>
      <c r="E16" s="14" t="str">
        <f>IF(A16="","",TRIM(Form_Raw_Data!E16))</f>
        <v/>
      </c>
      <c r="F16" s="12" t="str">
        <f>IF(A16="","",IF(Form_Raw_Data!F16="","",Form_Raw_Data!F16&amp;""))</f>
        <v/>
      </c>
      <c r="G16" s="14" t="str">
        <f>IF(A16="","",IF(ISNUMBER(Form_Raw_Data!F16),IF(AND(Form_Raw_Data!F16&gt;=0,Form_Raw_Data!F16&lt;=24),Form_Raw_Data!F16,""),""))</f>
        <v/>
      </c>
      <c r="H16" s="14" t="str">
        <f>IF(A16="","",TRIM(Form_Raw_Data!G16))</f>
        <v/>
      </c>
      <c r="I16" s="15" t="str">
        <f t="shared" si="0"/>
        <v/>
      </c>
      <c r="J16" s="15" t="str">
        <f>IF(A16="","",IF(COUNTIF(Lists!$A$4:$A$53,C16)&gt;0,"YES","NO"))</f>
        <v/>
      </c>
      <c r="K16" s="15" t="str">
        <f>IF(A16="","",IF(COUNTIF(Lists!$I$4:$I$53,D16)&gt;0,"YES","NO"))</f>
        <v/>
      </c>
    </row>
    <row r="17" spans="1:11" x14ac:dyDescent="0.35">
      <c r="A17" s="12" t="str">
        <f>IF(Form_Raw_Data!A17="","",Form_Raw_Data!A17)</f>
        <v/>
      </c>
      <c r="B17" s="13" t="str">
        <f>IF(A17="","",Form_Raw_Data!B17)</f>
        <v/>
      </c>
      <c r="C17" s="14" t="str">
        <f>IF(A17="","",UPPER(TRIM(Form_Raw_Data!C17)))</f>
        <v/>
      </c>
      <c r="D17" s="14" t="str">
        <f>IF(A17="","",UPPER(TRIM(Form_Raw_Data!D17)))</f>
        <v/>
      </c>
      <c r="E17" s="14" t="str">
        <f>IF(A17="","",TRIM(Form_Raw_Data!E17))</f>
        <v/>
      </c>
      <c r="F17" s="12" t="str">
        <f>IF(A17="","",IF(Form_Raw_Data!F17="","",Form_Raw_Data!F17&amp;""))</f>
        <v/>
      </c>
      <c r="G17" s="14" t="str">
        <f>IF(A17="","",IF(ISNUMBER(Form_Raw_Data!F17),IF(AND(Form_Raw_Data!F17&gt;=0,Form_Raw_Data!F17&lt;=24),Form_Raw_Data!F17,""),""))</f>
        <v/>
      </c>
      <c r="H17" s="14" t="str">
        <f>IF(A17="","",TRIM(Form_Raw_Data!G17))</f>
        <v/>
      </c>
      <c r="I17" s="15" t="str">
        <f t="shared" si="0"/>
        <v/>
      </c>
      <c r="J17" s="15" t="str">
        <f>IF(A17="","",IF(COUNTIF(Lists!$A$4:$A$53,C17)&gt;0,"YES","NO"))</f>
        <v/>
      </c>
      <c r="K17" s="15" t="str">
        <f>IF(A17="","",IF(COUNTIF(Lists!$I$4:$I$53,D17)&gt;0,"YES","NO"))</f>
        <v/>
      </c>
    </row>
    <row r="18" spans="1:11" x14ac:dyDescent="0.35">
      <c r="A18" s="12" t="str">
        <f>IF(Form_Raw_Data!A18="","",Form_Raw_Data!A18)</f>
        <v/>
      </c>
      <c r="B18" s="13" t="str">
        <f>IF(A18="","",Form_Raw_Data!B18)</f>
        <v/>
      </c>
      <c r="C18" s="14" t="str">
        <f>IF(A18="","",UPPER(TRIM(Form_Raw_Data!C18)))</f>
        <v/>
      </c>
      <c r="D18" s="14" t="str">
        <f>IF(A18="","",UPPER(TRIM(Form_Raw_Data!D18)))</f>
        <v/>
      </c>
      <c r="E18" s="14" t="str">
        <f>IF(A18="","",TRIM(Form_Raw_Data!E18))</f>
        <v/>
      </c>
      <c r="F18" s="12" t="str">
        <f>IF(A18="","",IF(Form_Raw_Data!F18="","",Form_Raw_Data!F18&amp;""))</f>
        <v/>
      </c>
      <c r="G18" s="14" t="str">
        <f>IF(A18="","",IF(ISNUMBER(Form_Raw_Data!F18),IF(AND(Form_Raw_Data!F18&gt;=0,Form_Raw_Data!F18&lt;=24),Form_Raw_Data!F18,""),""))</f>
        <v/>
      </c>
      <c r="H18" s="14" t="str">
        <f>IF(A18="","",TRIM(Form_Raw_Data!G18))</f>
        <v/>
      </c>
      <c r="I18" s="15" t="str">
        <f t="shared" si="0"/>
        <v/>
      </c>
      <c r="J18" s="15" t="str">
        <f>IF(A18="","",IF(COUNTIF(Lists!$A$4:$A$53,C18)&gt;0,"YES","NO"))</f>
        <v/>
      </c>
      <c r="K18" s="15" t="str">
        <f>IF(A18="","",IF(COUNTIF(Lists!$I$4:$I$53,D18)&gt;0,"YES","NO"))</f>
        <v/>
      </c>
    </row>
    <row r="19" spans="1:11" x14ac:dyDescent="0.35">
      <c r="A19" s="12" t="str">
        <f>IF(Form_Raw_Data!A19="","",Form_Raw_Data!A19)</f>
        <v/>
      </c>
      <c r="B19" s="13" t="str">
        <f>IF(A19="","",Form_Raw_Data!B19)</f>
        <v/>
      </c>
      <c r="C19" s="14" t="str">
        <f>IF(A19="","",UPPER(TRIM(Form_Raw_Data!C19)))</f>
        <v/>
      </c>
      <c r="D19" s="14" t="str">
        <f>IF(A19="","",UPPER(TRIM(Form_Raw_Data!D19)))</f>
        <v/>
      </c>
      <c r="E19" s="14" t="str">
        <f>IF(A19="","",TRIM(Form_Raw_Data!E19))</f>
        <v/>
      </c>
      <c r="F19" s="12" t="str">
        <f>IF(A19="","",IF(Form_Raw_Data!F19="","",Form_Raw_Data!F19&amp;""))</f>
        <v/>
      </c>
      <c r="G19" s="14" t="str">
        <f>IF(A19="","",IF(ISNUMBER(Form_Raw_Data!F19),IF(AND(Form_Raw_Data!F19&gt;=0,Form_Raw_Data!F19&lt;=24),Form_Raw_Data!F19,""),""))</f>
        <v/>
      </c>
      <c r="H19" s="14" t="str">
        <f>IF(A19="","",TRIM(Form_Raw_Data!G19))</f>
        <v/>
      </c>
      <c r="I19" s="15" t="str">
        <f t="shared" si="0"/>
        <v/>
      </c>
      <c r="J19" s="15" t="str">
        <f>IF(A19="","",IF(COUNTIF(Lists!$A$4:$A$53,C19)&gt;0,"YES","NO"))</f>
        <v/>
      </c>
      <c r="K19" s="15" t="str">
        <f>IF(A19="","",IF(COUNTIF(Lists!$I$4:$I$53,D19)&gt;0,"YES","NO"))</f>
        <v/>
      </c>
    </row>
    <row r="20" spans="1:11" x14ac:dyDescent="0.35">
      <c r="A20" s="12" t="str">
        <f>IF(Form_Raw_Data!A20="","",Form_Raw_Data!A20)</f>
        <v/>
      </c>
      <c r="B20" s="13" t="str">
        <f>IF(A20="","",Form_Raw_Data!B20)</f>
        <v/>
      </c>
      <c r="C20" s="14" t="str">
        <f>IF(A20="","",UPPER(TRIM(Form_Raw_Data!C20)))</f>
        <v/>
      </c>
      <c r="D20" s="14" t="str">
        <f>IF(A20="","",UPPER(TRIM(Form_Raw_Data!D20)))</f>
        <v/>
      </c>
      <c r="E20" s="14" t="str">
        <f>IF(A20="","",TRIM(Form_Raw_Data!E20))</f>
        <v/>
      </c>
      <c r="F20" s="12" t="str">
        <f>IF(A20="","",IF(Form_Raw_Data!F20="","",Form_Raw_Data!F20&amp;""))</f>
        <v/>
      </c>
      <c r="G20" s="14" t="str">
        <f>IF(A20="","",IF(ISNUMBER(Form_Raw_Data!F20),IF(AND(Form_Raw_Data!F20&gt;=0,Form_Raw_Data!F20&lt;=24),Form_Raw_Data!F20,""),""))</f>
        <v/>
      </c>
      <c r="H20" s="14" t="str">
        <f>IF(A20="","",TRIM(Form_Raw_Data!G20))</f>
        <v/>
      </c>
      <c r="I20" s="15" t="str">
        <f t="shared" si="0"/>
        <v/>
      </c>
      <c r="J20" s="15" t="str">
        <f>IF(A20="","",IF(COUNTIF(Lists!$A$4:$A$53,C20)&gt;0,"YES","NO"))</f>
        <v/>
      </c>
      <c r="K20" s="15" t="str">
        <f>IF(A20="","",IF(COUNTIF(Lists!$I$4:$I$53,D20)&gt;0,"YES","NO"))</f>
        <v/>
      </c>
    </row>
    <row r="21" spans="1:11" x14ac:dyDescent="0.35">
      <c r="A21" s="12" t="str">
        <f>IF(Form_Raw_Data!A21="","",Form_Raw_Data!A21)</f>
        <v/>
      </c>
      <c r="B21" s="13" t="str">
        <f>IF(A21="","",Form_Raw_Data!B21)</f>
        <v/>
      </c>
      <c r="C21" s="14" t="str">
        <f>IF(A21="","",UPPER(TRIM(Form_Raw_Data!C21)))</f>
        <v/>
      </c>
      <c r="D21" s="14" t="str">
        <f>IF(A21="","",UPPER(TRIM(Form_Raw_Data!D21)))</f>
        <v/>
      </c>
      <c r="E21" s="14" t="str">
        <f>IF(A21="","",TRIM(Form_Raw_Data!E21))</f>
        <v/>
      </c>
      <c r="F21" s="12" t="str">
        <f>IF(A21="","",IF(Form_Raw_Data!F21="","",Form_Raw_Data!F21&amp;""))</f>
        <v/>
      </c>
      <c r="G21" s="14" t="str">
        <f>IF(A21="","",IF(ISNUMBER(Form_Raw_Data!F21),IF(AND(Form_Raw_Data!F21&gt;=0,Form_Raw_Data!F21&lt;=24),Form_Raw_Data!F21,""),""))</f>
        <v/>
      </c>
      <c r="H21" s="14" t="str">
        <f>IF(A21="","",TRIM(Form_Raw_Data!G21))</f>
        <v/>
      </c>
      <c r="I21" s="15" t="str">
        <f t="shared" si="0"/>
        <v/>
      </c>
      <c r="J21" s="15" t="str">
        <f>IF(A21="","",IF(COUNTIF(Lists!$A$4:$A$53,C21)&gt;0,"YES","NO"))</f>
        <v/>
      </c>
      <c r="K21" s="15" t="str">
        <f>IF(A21="","",IF(COUNTIF(Lists!$I$4:$I$53,D21)&gt;0,"YES","NO"))</f>
        <v/>
      </c>
    </row>
    <row r="22" spans="1:11" x14ac:dyDescent="0.35">
      <c r="A22" s="12" t="str">
        <f>IF(Form_Raw_Data!A22="","",Form_Raw_Data!A22)</f>
        <v/>
      </c>
      <c r="B22" s="13" t="str">
        <f>IF(A22="","",Form_Raw_Data!B22)</f>
        <v/>
      </c>
      <c r="C22" s="14" t="str">
        <f>IF(A22="","",UPPER(TRIM(Form_Raw_Data!C22)))</f>
        <v/>
      </c>
      <c r="D22" s="14" t="str">
        <f>IF(A22="","",UPPER(TRIM(Form_Raw_Data!D22)))</f>
        <v/>
      </c>
      <c r="E22" s="14" t="str">
        <f>IF(A22="","",TRIM(Form_Raw_Data!E22))</f>
        <v/>
      </c>
      <c r="F22" s="12" t="str">
        <f>IF(A22="","",IF(Form_Raw_Data!F22="","",Form_Raw_Data!F22&amp;""))</f>
        <v/>
      </c>
      <c r="G22" s="14" t="str">
        <f>IF(A22="","",IF(ISNUMBER(Form_Raw_Data!F22),IF(AND(Form_Raw_Data!F22&gt;=0,Form_Raw_Data!F22&lt;=24),Form_Raw_Data!F22,""),""))</f>
        <v/>
      </c>
      <c r="H22" s="14" t="str">
        <f>IF(A22="","",TRIM(Form_Raw_Data!G22))</f>
        <v/>
      </c>
      <c r="I22" s="15" t="str">
        <f t="shared" si="0"/>
        <v/>
      </c>
      <c r="J22" s="15" t="str">
        <f>IF(A22="","",IF(COUNTIF(Lists!$A$4:$A$53,C22)&gt;0,"YES","NO"))</f>
        <v/>
      </c>
      <c r="K22" s="15" t="str">
        <f>IF(A22="","",IF(COUNTIF(Lists!$I$4:$I$53,D22)&gt;0,"YES","NO"))</f>
        <v/>
      </c>
    </row>
    <row r="23" spans="1:11" x14ac:dyDescent="0.35">
      <c r="A23" s="12" t="str">
        <f>IF(Form_Raw_Data!A23="","",Form_Raw_Data!A23)</f>
        <v/>
      </c>
      <c r="B23" s="13" t="str">
        <f>IF(A23="","",Form_Raw_Data!B23)</f>
        <v/>
      </c>
      <c r="C23" s="14" t="str">
        <f>IF(A23="","",UPPER(TRIM(Form_Raw_Data!C23)))</f>
        <v/>
      </c>
      <c r="D23" s="14" t="str">
        <f>IF(A23="","",UPPER(TRIM(Form_Raw_Data!D23)))</f>
        <v/>
      </c>
      <c r="E23" s="14" t="str">
        <f>IF(A23="","",TRIM(Form_Raw_Data!E23))</f>
        <v/>
      </c>
      <c r="F23" s="12" t="str">
        <f>IF(A23="","",IF(Form_Raw_Data!F23="","",Form_Raw_Data!F23&amp;""))</f>
        <v/>
      </c>
      <c r="G23" s="14" t="str">
        <f>IF(A23="","",IF(ISNUMBER(Form_Raw_Data!F23),IF(AND(Form_Raw_Data!F23&gt;=0,Form_Raw_Data!F23&lt;=24),Form_Raw_Data!F23,""),""))</f>
        <v/>
      </c>
      <c r="H23" s="14" t="str">
        <f>IF(A23="","",TRIM(Form_Raw_Data!G23))</f>
        <v/>
      </c>
      <c r="I23" s="15" t="str">
        <f t="shared" si="0"/>
        <v/>
      </c>
      <c r="J23" s="15" t="str">
        <f>IF(A23="","",IF(COUNTIF(Lists!$A$4:$A$53,C23)&gt;0,"YES","NO"))</f>
        <v/>
      </c>
      <c r="K23" s="15" t="str">
        <f>IF(A23="","",IF(COUNTIF(Lists!$I$4:$I$53,D23)&gt;0,"YES","NO"))</f>
        <v/>
      </c>
    </row>
    <row r="24" spans="1:11" x14ac:dyDescent="0.35">
      <c r="A24" s="12" t="str">
        <f>IF(Form_Raw_Data!A24="","",Form_Raw_Data!A24)</f>
        <v/>
      </c>
      <c r="B24" s="13" t="str">
        <f>IF(A24="","",Form_Raw_Data!B24)</f>
        <v/>
      </c>
      <c r="C24" s="14" t="str">
        <f>IF(A24="","",UPPER(TRIM(Form_Raw_Data!C24)))</f>
        <v/>
      </c>
      <c r="D24" s="14" t="str">
        <f>IF(A24="","",UPPER(TRIM(Form_Raw_Data!D24)))</f>
        <v/>
      </c>
      <c r="E24" s="14" t="str">
        <f>IF(A24="","",TRIM(Form_Raw_Data!E24))</f>
        <v/>
      </c>
      <c r="F24" s="12" t="str">
        <f>IF(A24="","",IF(Form_Raw_Data!F24="","",Form_Raw_Data!F24&amp;""))</f>
        <v/>
      </c>
      <c r="G24" s="14" t="str">
        <f>IF(A24="","",IF(ISNUMBER(Form_Raw_Data!F24),IF(AND(Form_Raw_Data!F24&gt;=0,Form_Raw_Data!F24&lt;=24),Form_Raw_Data!F24,""),""))</f>
        <v/>
      </c>
      <c r="H24" s="14" t="str">
        <f>IF(A24="","",TRIM(Form_Raw_Data!G24))</f>
        <v/>
      </c>
      <c r="I24" s="15" t="str">
        <f t="shared" si="0"/>
        <v/>
      </c>
      <c r="J24" s="15" t="str">
        <f>IF(A24="","",IF(COUNTIF(Lists!$A$4:$A$53,C24)&gt;0,"YES","NO"))</f>
        <v/>
      </c>
      <c r="K24" s="15" t="str">
        <f>IF(A24="","",IF(COUNTIF(Lists!$I$4:$I$53,D24)&gt;0,"YES","NO"))</f>
        <v/>
      </c>
    </row>
    <row r="25" spans="1:11" x14ac:dyDescent="0.35">
      <c r="A25" s="12" t="str">
        <f>IF(Form_Raw_Data!A25="","",Form_Raw_Data!A25)</f>
        <v/>
      </c>
      <c r="B25" s="13" t="str">
        <f>IF(A25="","",Form_Raw_Data!B25)</f>
        <v/>
      </c>
      <c r="C25" s="14" t="str">
        <f>IF(A25="","",UPPER(TRIM(Form_Raw_Data!C25)))</f>
        <v/>
      </c>
      <c r="D25" s="14" t="str">
        <f>IF(A25="","",UPPER(TRIM(Form_Raw_Data!D25)))</f>
        <v/>
      </c>
      <c r="E25" s="14" t="str">
        <f>IF(A25="","",TRIM(Form_Raw_Data!E25))</f>
        <v/>
      </c>
      <c r="F25" s="12" t="str">
        <f>IF(A25="","",IF(Form_Raw_Data!F25="","",Form_Raw_Data!F25&amp;""))</f>
        <v/>
      </c>
      <c r="G25" s="14" t="str">
        <f>IF(A25="","",IF(ISNUMBER(Form_Raw_Data!F25),IF(AND(Form_Raw_Data!F25&gt;=0,Form_Raw_Data!F25&lt;=24),Form_Raw_Data!F25,""),""))</f>
        <v/>
      </c>
      <c r="H25" s="14" t="str">
        <f>IF(A25="","",TRIM(Form_Raw_Data!G25))</f>
        <v/>
      </c>
      <c r="I25" s="15" t="str">
        <f t="shared" si="0"/>
        <v/>
      </c>
      <c r="J25" s="15" t="str">
        <f>IF(A25="","",IF(COUNTIF(Lists!$A$4:$A$53,C25)&gt;0,"YES","NO"))</f>
        <v/>
      </c>
      <c r="K25" s="15" t="str">
        <f>IF(A25="","",IF(COUNTIF(Lists!$I$4:$I$53,D25)&gt;0,"YES","NO"))</f>
        <v/>
      </c>
    </row>
    <row r="26" spans="1:11" x14ac:dyDescent="0.35">
      <c r="A26" s="12" t="str">
        <f>IF(Form_Raw_Data!A26="","",Form_Raw_Data!A26)</f>
        <v/>
      </c>
      <c r="B26" s="13" t="str">
        <f>IF(A26="","",Form_Raw_Data!B26)</f>
        <v/>
      </c>
      <c r="C26" s="14" t="str">
        <f>IF(A26="","",UPPER(TRIM(Form_Raw_Data!C26)))</f>
        <v/>
      </c>
      <c r="D26" s="14" t="str">
        <f>IF(A26="","",UPPER(TRIM(Form_Raw_Data!D26)))</f>
        <v/>
      </c>
      <c r="E26" s="14" t="str">
        <f>IF(A26="","",TRIM(Form_Raw_Data!E26))</f>
        <v/>
      </c>
      <c r="F26" s="12" t="str">
        <f>IF(A26="","",IF(Form_Raw_Data!F26="","",Form_Raw_Data!F26&amp;""))</f>
        <v/>
      </c>
      <c r="G26" s="14" t="str">
        <f>IF(A26="","",IF(ISNUMBER(Form_Raw_Data!F26),IF(AND(Form_Raw_Data!F26&gt;=0,Form_Raw_Data!F26&lt;=24),Form_Raw_Data!F26,""),""))</f>
        <v/>
      </c>
      <c r="H26" s="14" t="str">
        <f>IF(A26="","",TRIM(Form_Raw_Data!G26))</f>
        <v/>
      </c>
      <c r="I26" s="15" t="str">
        <f t="shared" si="0"/>
        <v/>
      </c>
      <c r="J26" s="15" t="str">
        <f>IF(A26="","",IF(COUNTIF(Lists!$A$4:$A$53,C26)&gt;0,"YES","NO"))</f>
        <v/>
      </c>
      <c r="K26" s="15" t="str">
        <f>IF(A26="","",IF(COUNTIF(Lists!$I$4:$I$53,D26)&gt;0,"YES","NO"))</f>
        <v/>
      </c>
    </row>
    <row r="27" spans="1:11" x14ac:dyDescent="0.35">
      <c r="A27" s="12" t="str">
        <f>IF(Form_Raw_Data!A27="","",Form_Raw_Data!A27)</f>
        <v/>
      </c>
      <c r="B27" s="13" t="str">
        <f>IF(A27="","",Form_Raw_Data!B27)</f>
        <v/>
      </c>
      <c r="C27" s="14" t="str">
        <f>IF(A27="","",UPPER(TRIM(Form_Raw_Data!C27)))</f>
        <v/>
      </c>
      <c r="D27" s="14" t="str">
        <f>IF(A27="","",UPPER(TRIM(Form_Raw_Data!D27)))</f>
        <v/>
      </c>
      <c r="E27" s="14" t="str">
        <f>IF(A27="","",TRIM(Form_Raw_Data!E27))</f>
        <v/>
      </c>
      <c r="F27" s="12" t="str">
        <f>IF(A27="","",IF(Form_Raw_Data!F27="","",Form_Raw_Data!F27&amp;""))</f>
        <v/>
      </c>
      <c r="G27" s="14" t="str">
        <f>IF(A27="","",IF(ISNUMBER(Form_Raw_Data!F27),IF(AND(Form_Raw_Data!F27&gt;=0,Form_Raw_Data!F27&lt;=24),Form_Raw_Data!F27,""),""))</f>
        <v/>
      </c>
      <c r="H27" s="14" t="str">
        <f>IF(A27="","",TRIM(Form_Raw_Data!G27))</f>
        <v/>
      </c>
      <c r="I27" s="15" t="str">
        <f t="shared" si="0"/>
        <v/>
      </c>
      <c r="J27" s="15" t="str">
        <f>IF(A27="","",IF(COUNTIF(Lists!$A$4:$A$53,C27)&gt;0,"YES","NO"))</f>
        <v/>
      </c>
      <c r="K27" s="15" t="str">
        <f>IF(A27="","",IF(COUNTIF(Lists!$I$4:$I$53,D27)&gt;0,"YES","NO"))</f>
        <v/>
      </c>
    </row>
    <row r="28" spans="1:11" x14ac:dyDescent="0.35">
      <c r="A28" s="12" t="str">
        <f>IF(Form_Raw_Data!A28="","",Form_Raw_Data!A28)</f>
        <v/>
      </c>
      <c r="B28" s="13" t="str">
        <f>IF(A28="","",Form_Raw_Data!B28)</f>
        <v/>
      </c>
      <c r="C28" s="14" t="str">
        <f>IF(A28="","",UPPER(TRIM(Form_Raw_Data!C28)))</f>
        <v/>
      </c>
      <c r="D28" s="14" t="str">
        <f>IF(A28="","",UPPER(TRIM(Form_Raw_Data!D28)))</f>
        <v/>
      </c>
      <c r="E28" s="14" t="str">
        <f>IF(A28="","",TRIM(Form_Raw_Data!E28))</f>
        <v/>
      </c>
      <c r="F28" s="12" t="str">
        <f>IF(A28="","",IF(Form_Raw_Data!F28="","",Form_Raw_Data!F28&amp;""))</f>
        <v/>
      </c>
      <c r="G28" s="14" t="str">
        <f>IF(A28="","",IF(ISNUMBER(Form_Raw_Data!F28),IF(AND(Form_Raw_Data!F28&gt;=0,Form_Raw_Data!F28&lt;=24),Form_Raw_Data!F28,""),""))</f>
        <v/>
      </c>
      <c r="H28" s="14" t="str">
        <f>IF(A28="","",TRIM(Form_Raw_Data!G28))</f>
        <v/>
      </c>
      <c r="I28" s="15" t="str">
        <f t="shared" si="0"/>
        <v/>
      </c>
      <c r="J28" s="15" t="str">
        <f>IF(A28="","",IF(COUNTIF(Lists!$A$4:$A$53,C28)&gt;0,"YES","NO"))</f>
        <v/>
      </c>
      <c r="K28" s="15" t="str">
        <f>IF(A28="","",IF(COUNTIF(Lists!$I$4:$I$53,D28)&gt;0,"YES","NO"))</f>
        <v/>
      </c>
    </row>
    <row r="29" spans="1:11" x14ac:dyDescent="0.35">
      <c r="A29" s="12" t="str">
        <f>IF(Form_Raw_Data!A29="","",Form_Raw_Data!A29)</f>
        <v/>
      </c>
      <c r="B29" s="13" t="str">
        <f>IF(A29="","",Form_Raw_Data!B29)</f>
        <v/>
      </c>
      <c r="C29" s="14" t="str">
        <f>IF(A29="","",UPPER(TRIM(Form_Raw_Data!C29)))</f>
        <v/>
      </c>
      <c r="D29" s="14" t="str">
        <f>IF(A29="","",UPPER(TRIM(Form_Raw_Data!D29)))</f>
        <v/>
      </c>
      <c r="E29" s="14" t="str">
        <f>IF(A29="","",TRIM(Form_Raw_Data!E29))</f>
        <v/>
      </c>
      <c r="F29" s="12" t="str">
        <f>IF(A29="","",IF(Form_Raw_Data!F29="","",Form_Raw_Data!F29&amp;""))</f>
        <v/>
      </c>
      <c r="G29" s="14" t="str">
        <f>IF(A29="","",IF(ISNUMBER(Form_Raw_Data!F29),IF(AND(Form_Raw_Data!F29&gt;=0,Form_Raw_Data!F29&lt;=24),Form_Raw_Data!F29,""),""))</f>
        <v/>
      </c>
      <c r="H29" s="14" t="str">
        <f>IF(A29="","",TRIM(Form_Raw_Data!G29))</f>
        <v/>
      </c>
      <c r="I29" s="15" t="str">
        <f t="shared" si="0"/>
        <v/>
      </c>
      <c r="J29" s="15" t="str">
        <f>IF(A29="","",IF(COUNTIF(Lists!$A$4:$A$53,C29)&gt;0,"YES","NO"))</f>
        <v/>
      </c>
      <c r="K29" s="15" t="str">
        <f>IF(A29="","",IF(COUNTIF(Lists!$I$4:$I$53,D29)&gt;0,"YES","NO"))</f>
        <v/>
      </c>
    </row>
    <row r="30" spans="1:11" x14ac:dyDescent="0.35">
      <c r="A30" s="12" t="str">
        <f>IF(Form_Raw_Data!A30="","",Form_Raw_Data!A30)</f>
        <v/>
      </c>
      <c r="B30" s="13" t="str">
        <f>IF(A30="","",Form_Raw_Data!B30)</f>
        <v/>
      </c>
      <c r="C30" s="14" t="str">
        <f>IF(A30="","",UPPER(TRIM(Form_Raw_Data!C30)))</f>
        <v/>
      </c>
      <c r="D30" s="14" t="str">
        <f>IF(A30="","",UPPER(TRIM(Form_Raw_Data!D30)))</f>
        <v/>
      </c>
      <c r="E30" s="14" t="str">
        <f>IF(A30="","",TRIM(Form_Raw_Data!E30))</f>
        <v/>
      </c>
      <c r="F30" s="12" t="str">
        <f>IF(A30="","",IF(Form_Raw_Data!F30="","",Form_Raw_Data!F30&amp;""))</f>
        <v/>
      </c>
      <c r="G30" s="14" t="str">
        <f>IF(A30="","",IF(ISNUMBER(Form_Raw_Data!F30),IF(AND(Form_Raw_Data!F30&gt;=0,Form_Raw_Data!F30&lt;=24),Form_Raw_Data!F30,""),""))</f>
        <v/>
      </c>
      <c r="H30" s="14" t="str">
        <f>IF(A30="","",TRIM(Form_Raw_Data!G30))</f>
        <v/>
      </c>
      <c r="I30" s="15" t="str">
        <f t="shared" si="0"/>
        <v/>
      </c>
      <c r="J30" s="15" t="str">
        <f>IF(A30="","",IF(COUNTIF(Lists!$A$4:$A$53,C30)&gt;0,"YES","NO"))</f>
        <v/>
      </c>
      <c r="K30" s="15" t="str">
        <f>IF(A30="","",IF(COUNTIF(Lists!$I$4:$I$53,D30)&gt;0,"YES","NO"))</f>
        <v/>
      </c>
    </row>
    <row r="31" spans="1:11" x14ac:dyDescent="0.35">
      <c r="A31" s="12" t="str">
        <f>IF(Form_Raw_Data!A31="","",Form_Raw_Data!A31)</f>
        <v/>
      </c>
      <c r="B31" s="13" t="str">
        <f>IF(A31="","",Form_Raw_Data!B31)</f>
        <v/>
      </c>
      <c r="C31" s="14" t="str">
        <f>IF(A31="","",UPPER(TRIM(Form_Raw_Data!C31)))</f>
        <v/>
      </c>
      <c r="D31" s="14" t="str">
        <f>IF(A31="","",UPPER(TRIM(Form_Raw_Data!D31)))</f>
        <v/>
      </c>
      <c r="E31" s="14" t="str">
        <f>IF(A31="","",TRIM(Form_Raw_Data!E31))</f>
        <v/>
      </c>
      <c r="F31" s="12" t="str">
        <f>IF(A31="","",IF(Form_Raw_Data!F31="","",Form_Raw_Data!F31&amp;""))</f>
        <v/>
      </c>
      <c r="G31" s="14" t="str">
        <f>IF(A31="","",IF(ISNUMBER(Form_Raw_Data!F31),IF(AND(Form_Raw_Data!F31&gt;=0,Form_Raw_Data!F31&lt;=24),Form_Raw_Data!F31,""),""))</f>
        <v/>
      </c>
      <c r="H31" s="14" t="str">
        <f>IF(A31="","",TRIM(Form_Raw_Data!G31))</f>
        <v/>
      </c>
      <c r="I31" s="15" t="str">
        <f t="shared" si="0"/>
        <v/>
      </c>
      <c r="J31" s="15" t="str">
        <f>IF(A31="","",IF(COUNTIF(Lists!$A$4:$A$53,C31)&gt;0,"YES","NO"))</f>
        <v/>
      </c>
      <c r="K31" s="15" t="str">
        <f>IF(A31="","",IF(COUNTIF(Lists!$I$4:$I$53,D31)&gt;0,"YES","NO"))</f>
        <v/>
      </c>
    </row>
    <row r="32" spans="1:11" x14ac:dyDescent="0.35">
      <c r="A32" s="12" t="str">
        <f>IF(Form_Raw_Data!A32="","",Form_Raw_Data!A32)</f>
        <v/>
      </c>
      <c r="B32" s="13" t="str">
        <f>IF(A32="","",Form_Raw_Data!B32)</f>
        <v/>
      </c>
      <c r="C32" s="14" t="str">
        <f>IF(A32="","",UPPER(TRIM(Form_Raw_Data!C32)))</f>
        <v/>
      </c>
      <c r="D32" s="14" t="str">
        <f>IF(A32="","",UPPER(TRIM(Form_Raw_Data!D32)))</f>
        <v/>
      </c>
      <c r="E32" s="14" t="str">
        <f>IF(A32="","",TRIM(Form_Raw_Data!E32))</f>
        <v/>
      </c>
      <c r="F32" s="12" t="str">
        <f>IF(A32="","",IF(Form_Raw_Data!F32="","",Form_Raw_Data!F32&amp;""))</f>
        <v/>
      </c>
      <c r="G32" s="14" t="str">
        <f>IF(A32="","",IF(ISNUMBER(Form_Raw_Data!F32),IF(AND(Form_Raw_Data!F32&gt;=0,Form_Raw_Data!F32&lt;=24),Form_Raw_Data!F32,""),""))</f>
        <v/>
      </c>
      <c r="H32" s="14" t="str">
        <f>IF(A32="","",TRIM(Form_Raw_Data!G32))</f>
        <v/>
      </c>
      <c r="I32" s="15" t="str">
        <f t="shared" si="0"/>
        <v/>
      </c>
      <c r="J32" s="15" t="str">
        <f>IF(A32="","",IF(COUNTIF(Lists!$A$4:$A$53,C32)&gt;0,"YES","NO"))</f>
        <v/>
      </c>
      <c r="K32" s="15" t="str">
        <f>IF(A32="","",IF(COUNTIF(Lists!$I$4:$I$53,D32)&gt;0,"YES","NO"))</f>
        <v/>
      </c>
    </row>
    <row r="33" spans="1:11" x14ac:dyDescent="0.35">
      <c r="A33" s="12" t="str">
        <f>IF(Form_Raw_Data!A33="","",Form_Raw_Data!A33)</f>
        <v/>
      </c>
      <c r="B33" s="13" t="str">
        <f>IF(A33="","",Form_Raw_Data!B33)</f>
        <v/>
      </c>
      <c r="C33" s="14" t="str">
        <f>IF(A33="","",UPPER(TRIM(Form_Raw_Data!C33)))</f>
        <v/>
      </c>
      <c r="D33" s="14" t="str">
        <f>IF(A33="","",UPPER(TRIM(Form_Raw_Data!D33)))</f>
        <v/>
      </c>
      <c r="E33" s="14" t="str">
        <f>IF(A33="","",TRIM(Form_Raw_Data!E33))</f>
        <v/>
      </c>
      <c r="F33" s="12" t="str">
        <f>IF(A33="","",IF(Form_Raw_Data!F33="","",Form_Raw_Data!F33&amp;""))</f>
        <v/>
      </c>
      <c r="G33" s="14" t="str">
        <f>IF(A33="","",IF(ISNUMBER(Form_Raw_Data!F33),IF(AND(Form_Raw_Data!F33&gt;=0,Form_Raw_Data!F33&lt;=24),Form_Raw_Data!F33,""),""))</f>
        <v/>
      </c>
      <c r="H33" s="14" t="str">
        <f>IF(A33="","",TRIM(Form_Raw_Data!G33))</f>
        <v/>
      </c>
      <c r="I33" s="15" t="str">
        <f t="shared" si="0"/>
        <v/>
      </c>
      <c r="J33" s="15" t="str">
        <f>IF(A33="","",IF(COUNTIF(Lists!$A$4:$A$53,C33)&gt;0,"YES","NO"))</f>
        <v/>
      </c>
      <c r="K33" s="15" t="str">
        <f>IF(A33="","",IF(COUNTIF(Lists!$I$4:$I$53,D33)&gt;0,"YES","NO"))</f>
        <v/>
      </c>
    </row>
    <row r="34" spans="1:11" x14ac:dyDescent="0.35">
      <c r="A34" s="12" t="str">
        <f>IF(Form_Raw_Data!A34="","",Form_Raw_Data!A34)</f>
        <v/>
      </c>
      <c r="B34" s="13" t="str">
        <f>IF(A34="","",Form_Raw_Data!B34)</f>
        <v/>
      </c>
      <c r="C34" s="14" t="str">
        <f>IF(A34="","",UPPER(TRIM(Form_Raw_Data!C34)))</f>
        <v/>
      </c>
      <c r="D34" s="14" t="str">
        <f>IF(A34="","",UPPER(TRIM(Form_Raw_Data!D34)))</f>
        <v/>
      </c>
      <c r="E34" s="14" t="str">
        <f>IF(A34="","",TRIM(Form_Raw_Data!E34))</f>
        <v/>
      </c>
      <c r="F34" s="12" t="str">
        <f>IF(A34="","",IF(Form_Raw_Data!F34="","",Form_Raw_Data!F34&amp;""))</f>
        <v/>
      </c>
      <c r="G34" s="14" t="str">
        <f>IF(A34="","",IF(ISNUMBER(Form_Raw_Data!F34),IF(AND(Form_Raw_Data!F34&gt;=0,Form_Raw_Data!F34&lt;=24),Form_Raw_Data!F34,""),""))</f>
        <v/>
      </c>
      <c r="H34" s="14" t="str">
        <f>IF(A34="","",TRIM(Form_Raw_Data!G34))</f>
        <v/>
      </c>
      <c r="I34" s="15" t="str">
        <f t="shared" si="0"/>
        <v/>
      </c>
      <c r="J34" s="15" t="str">
        <f>IF(A34="","",IF(COUNTIF(Lists!$A$4:$A$53,C34)&gt;0,"YES","NO"))</f>
        <v/>
      </c>
      <c r="K34" s="15" t="str">
        <f>IF(A34="","",IF(COUNTIF(Lists!$I$4:$I$53,D34)&gt;0,"YES","NO"))</f>
        <v/>
      </c>
    </row>
    <row r="35" spans="1:11" x14ac:dyDescent="0.35">
      <c r="A35" s="12" t="str">
        <f>IF(Form_Raw_Data!A35="","",Form_Raw_Data!A35)</f>
        <v/>
      </c>
      <c r="B35" s="13" t="str">
        <f>IF(A35="","",Form_Raw_Data!B35)</f>
        <v/>
      </c>
      <c r="C35" s="14" t="str">
        <f>IF(A35="","",UPPER(TRIM(Form_Raw_Data!C35)))</f>
        <v/>
      </c>
      <c r="D35" s="14" t="str">
        <f>IF(A35="","",UPPER(TRIM(Form_Raw_Data!D35)))</f>
        <v/>
      </c>
      <c r="E35" s="14" t="str">
        <f>IF(A35="","",TRIM(Form_Raw_Data!E35))</f>
        <v/>
      </c>
      <c r="F35" s="12" t="str">
        <f>IF(A35="","",IF(Form_Raw_Data!F35="","",Form_Raw_Data!F35&amp;""))</f>
        <v/>
      </c>
      <c r="G35" s="14" t="str">
        <f>IF(A35="","",IF(ISNUMBER(Form_Raw_Data!F35),IF(AND(Form_Raw_Data!F35&gt;=0,Form_Raw_Data!F35&lt;=24),Form_Raw_Data!F35,""),""))</f>
        <v/>
      </c>
      <c r="H35" s="14" t="str">
        <f>IF(A35="","",TRIM(Form_Raw_Data!G35))</f>
        <v/>
      </c>
      <c r="I35" s="15" t="str">
        <f t="shared" si="0"/>
        <v/>
      </c>
      <c r="J35" s="15" t="str">
        <f>IF(A35="","",IF(COUNTIF(Lists!$A$4:$A$53,C35)&gt;0,"YES","NO"))</f>
        <v/>
      </c>
      <c r="K35" s="15" t="str">
        <f>IF(A35="","",IF(COUNTIF(Lists!$I$4:$I$53,D35)&gt;0,"YES","NO"))</f>
        <v/>
      </c>
    </row>
    <row r="36" spans="1:11" x14ac:dyDescent="0.35">
      <c r="A36" s="12" t="str">
        <f>IF(Form_Raw_Data!A36="","",Form_Raw_Data!A36)</f>
        <v/>
      </c>
      <c r="B36" s="13" t="str">
        <f>IF(A36="","",Form_Raw_Data!B36)</f>
        <v/>
      </c>
      <c r="C36" s="14" t="str">
        <f>IF(A36="","",UPPER(TRIM(Form_Raw_Data!C36)))</f>
        <v/>
      </c>
      <c r="D36" s="14" t="str">
        <f>IF(A36="","",UPPER(TRIM(Form_Raw_Data!D36)))</f>
        <v/>
      </c>
      <c r="E36" s="14" t="str">
        <f>IF(A36="","",TRIM(Form_Raw_Data!E36))</f>
        <v/>
      </c>
      <c r="F36" s="12" t="str">
        <f>IF(A36="","",IF(Form_Raw_Data!F36="","",Form_Raw_Data!F36&amp;""))</f>
        <v/>
      </c>
      <c r="G36" s="14" t="str">
        <f>IF(A36="","",IF(ISNUMBER(Form_Raw_Data!F36),IF(AND(Form_Raw_Data!F36&gt;=0,Form_Raw_Data!F36&lt;=24),Form_Raw_Data!F36,""),""))</f>
        <v/>
      </c>
      <c r="H36" s="14" t="str">
        <f>IF(A36="","",TRIM(Form_Raw_Data!G36))</f>
        <v/>
      </c>
      <c r="I36" s="15" t="str">
        <f t="shared" si="0"/>
        <v/>
      </c>
      <c r="J36" s="15" t="str">
        <f>IF(A36="","",IF(COUNTIF(Lists!$A$4:$A$53,C36)&gt;0,"YES","NO"))</f>
        <v/>
      </c>
      <c r="K36" s="15" t="str">
        <f>IF(A36="","",IF(COUNTIF(Lists!$I$4:$I$53,D36)&gt;0,"YES","NO"))</f>
        <v/>
      </c>
    </row>
    <row r="37" spans="1:11" x14ac:dyDescent="0.35">
      <c r="A37" s="12" t="str">
        <f>IF(Form_Raw_Data!A37="","",Form_Raw_Data!A37)</f>
        <v/>
      </c>
      <c r="B37" s="13" t="str">
        <f>IF(A37="","",Form_Raw_Data!B37)</f>
        <v/>
      </c>
      <c r="C37" s="14" t="str">
        <f>IF(A37="","",UPPER(TRIM(Form_Raw_Data!C37)))</f>
        <v/>
      </c>
      <c r="D37" s="14" t="str">
        <f>IF(A37="","",UPPER(TRIM(Form_Raw_Data!D37)))</f>
        <v/>
      </c>
      <c r="E37" s="14" t="str">
        <f>IF(A37="","",TRIM(Form_Raw_Data!E37))</f>
        <v/>
      </c>
      <c r="F37" s="12" t="str">
        <f>IF(A37="","",IF(Form_Raw_Data!F37="","",Form_Raw_Data!F37&amp;""))</f>
        <v/>
      </c>
      <c r="G37" s="14" t="str">
        <f>IF(A37="","",IF(ISNUMBER(Form_Raw_Data!F37),IF(AND(Form_Raw_Data!F37&gt;=0,Form_Raw_Data!F37&lt;=24),Form_Raw_Data!F37,""),""))</f>
        <v/>
      </c>
      <c r="H37" s="14" t="str">
        <f>IF(A37="","",TRIM(Form_Raw_Data!G37))</f>
        <v/>
      </c>
      <c r="I37" s="15" t="str">
        <f t="shared" si="0"/>
        <v/>
      </c>
      <c r="J37" s="15" t="str">
        <f>IF(A37="","",IF(COUNTIF(Lists!$A$4:$A$53,C37)&gt;0,"YES","NO"))</f>
        <v/>
      </c>
      <c r="K37" s="15" t="str">
        <f>IF(A37="","",IF(COUNTIF(Lists!$I$4:$I$53,D37)&gt;0,"YES","NO"))</f>
        <v/>
      </c>
    </row>
    <row r="38" spans="1:11" x14ac:dyDescent="0.35">
      <c r="A38" s="12" t="str">
        <f>IF(Form_Raw_Data!A38="","",Form_Raw_Data!A38)</f>
        <v/>
      </c>
      <c r="B38" s="13" t="str">
        <f>IF(A38="","",Form_Raw_Data!B38)</f>
        <v/>
      </c>
      <c r="C38" s="14" t="str">
        <f>IF(A38="","",UPPER(TRIM(Form_Raw_Data!C38)))</f>
        <v/>
      </c>
      <c r="D38" s="14" t="str">
        <f>IF(A38="","",UPPER(TRIM(Form_Raw_Data!D38)))</f>
        <v/>
      </c>
      <c r="E38" s="14" t="str">
        <f>IF(A38="","",TRIM(Form_Raw_Data!E38))</f>
        <v/>
      </c>
      <c r="F38" s="12" t="str">
        <f>IF(A38="","",IF(Form_Raw_Data!F38="","",Form_Raw_Data!F38&amp;""))</f>
        <v/>
      </c>
      <c r="G38" s="14" t="str">
        <f>IF(A38="","",IF(ISNUMBER(Form_Raw_Data!F38),IF(AND(Form_Raw_Data!F38&gt;=0,Form_Raw_Data!F38&lt;=24),Form_Raw_Data!F38,""),""))</f>
        <v/>
      </c>
      <c r="H38" s="14" t="str">
        <f>IF(A38="","",TRIM(Form_Raw_Data!G38))</f>
        <v/>
      </c>
      <c r="I38" s="15" t="str">
        <f t="shared" si="0"/>
        <v/>
      </c>
      <c r="J38" s="15" t="str">
        <f>IF(A38="","",IF(COUNTIF(Lists!$A$4:$A$53,C38)&gt;0,"YES","NO"))</f>
        <v/>
      </c>
      <c r="K38" s="15" t="str">
        <f>IF(A38="","",IF(COUNTIF(Lists!$I$4:$I$53,D38)&gt;0,"YES","NO"))</f>
        <v/>
      </c>
    </row>
    <row r="39" spans="1:11" x14ac:dyDescent="0.35">
      <c r="A39" s="12" t="str">
        <f>IF(Form_Raw_Data!A39="","",Form_Raw_Data!A39)</f>
        <v/>
      </c>
      <c r="B39" s="13" t="str">
        <f>IF(A39="","",Form_Raw_Data!B39)</f>
        <v/>
      </c>
      <c r="C39" s="14" t="str">
        <f>IF(A39="","",UPPER(TRIM(Form_Raw_Data!C39)))</f>
        <v/>
      </c>
      <c r="D39" s="14" t="str">
        <f>IF(A39="","",UPPER(TRIM(Form_Raw_Data!D39)))</f>
        <v/>
      </c>
      <c r="E39" s="14" t="str">
        <f>IF(A39="","",TRIM(Form_Raw_Data!E39))</f>
        <v/>
      </c>
      <c r="F39" s="12" t="str">
        <f>IF(A39="","",IF(Form_Raw_Data!F39="","",Form_Raw_Data!F39&amp;""))</f>
        <v/>
      </c>
      <c r="G39" s="14" t="str">
        <f>IF(A39="","",IF(ISNUMBER(Form_Raw_Data!F39),IF(AND(Form_Raw_Data!F39&gt;=0,Form_Raw_Data!F39&lt;=24),Form_Raw_Data!F39,""),""))</f>
        <v/>
      </c>
      <c r="H39" s="14" t="str">
        <f>IF(A39="","",TRIM(Form_Raw_Data!G39))</f>
        <v/>
      </c>
      <c r="I39" s="15" t="str">
        <f t="shared" si="0"/>
        <v/>
      </c>
      <c r="J39" s="15" t="str">
        <f>IF(A39="","",IF(COUNTIF(Lists!$A$4:$A$53,C39)&gt;0,"YES","NO"))</f>
        <v/>
      </c>
      <c r="K39" s="15" t="str">
        <f>IF(A39="","",IF(COUNTIF(Lists!$I$4:$I$53,D39)&gt;0,"YES","NO"))</f>
        <v/>
      </c>
    </row>
    <row r="40" spans="1:11" x14ac:dyDescent="0.35">
      <c r="A40" s="12" t="str">
        <f>IF(Form_Raw_Data!A40="","",Form_Raw_Data!A40)</f>
        <v/>
      </c>
      <c r="B40" s="13" t="str">
        <f>IF(A40="","",Form_Raw_Data!B40)</f>
        <v/>
      </c>
      <c r="C40" s="14" t="str">
        <f>IF(A40="","",UPPER(TRIM(Form_Raw_Data!C40)))</f>
        <v/>
      </c>
      <c r="D40" s="14" t="str">
        <f>IF(A40="","",UPPER(TRIM(Form_Raw_Data!D40)))</f>
        <v/>
      </c>
      <c r="E40" s="14" t="str">
        <f>IF(A40="","",TRIM(Form_Raw_Data!E40))</f>
        <v/>
      </c>
      <c r="F40" s="12" t="str">
        <f>IF(A40="","",IF(Form_Raw_Data!F40="","",Form_Raw_Data!F40&amp;""))</f>
        <v/>
      </c>
      <c r="G40" s="14" t="str">
        <f>IF(A40="","",IF(ISNUMBER(Form_Raw_Data!F40),IF(AND(Form_Raw_Data!F40&gt;=0,Form_Raw_Data!F40&lt;=24),Form_Raw_Data!F40,""),""))</f>
        <v/>
      </c>
      <c r="H40" s="14" t="str">
        <f>IF(A40="","",TRIM(Form_Raw_Data!G40))</f>
        <v/>
      </c>
      <c r="I40" s="15" t="str">
        <f t="shared" si="0"/>
        <v/>
      </c>
      <c r="J40" s="15" t="str">
        <f>IF(A40="","",IF(COUNTIF(Lists!$A$4:$A$53,C40)&gt;0,"YES","NO"))</f>
        <v/>
      </c>
      <c r="K40" s="15" t="str">
        <f>IF(A40="","",IF(COUNTIF(Lists!$I$4:$I$53,D40)&gt;0,"YES","NO"))</f>
        <v/>
      </c>
    </row>
    <row r="41" spans="1:11" x14ac:dyDescent="0.35">
      <c r="A41" s="12" t="str">
        <f>IF(Form_Raw_Data!A41="","",Form_Raw_Data!A41)</f>
        <v/>
      </c>
      <c r="B41" s="13" t="str">
        <f>IF(A41="","",Form_Raw_Data!B41)</f>
        <v/>
      </c>
      <c r="C41" s="14" t="str">
        <f>IF(A41="","",UPPER(TRIM(Form_Raw_Data!C41)))</f>
        <v/>
      </c>
      <c r="D41" s="14" t="str">
        <f>IF(A41="","",UPPER(TRIM(Form_Raw_Data!D41)))</f>
        <v/>
      </c>
      <c r="E41" s="14" t="str">
        <f>IF(A41="","",TRIM(Form_Raw_Data!E41))</f>
        <v/>
      </c>
      <c r="F41" s="12" t="str">
        <f>IF(A41="","",IF(Form_Raw_Data!F41="","",Form_Raw_Data!F41&amp;""))</f>
        <v/>
      </c>
      <c r="G41" s="14" t="str">
        <f>IF(A41="","",IF(ISNUMBER(Form_Raw_Data!F41),IF(AND(Form_Raw_Data!F41&gt;=0,Form_Raw_Data!F41&lt;=24),Form_Raw_Data!F41,""),""))</f>
        <v/>
      </c>
      <c r="H41" s="14" t="str">
        <f>IF(A41="","",TRIM(Form_Raw_Data!G41))</f>
        <v/>
      </c>
      <c r="I41" s="15" t="str">
        <f t="shared" si="0"/>
        <v/>
      </c>
      <c r="J41" s="15" t="str">
        <f>IF(A41="","",IF(COUNTIF(Lists!$A$4:$A$53,C41)&gt;0,"YES","NO"))</f>
        <v/>
      </c>
      <c r="K41" s="15" t="str">
        <f>IF(A41="","",IF(COUNTIF(Lists!$I$4:$I$53,D41)&gt;0,"YES","NO"))</f>
        <v/>
      </c>
    </row>
    <row r="42" spans="1:11" x14ac:dyDescent="0.35">
      <c r="A42" s="12" t="str">
        <f>IF(Form_Raw_Data!A42="","",Form_Raw_Data!A42)</f>
        <v/>
      </c>
      <c r="B42" s="13" t="str">
        <f>IF(A42="","",Form_Raw_Data!B42)</f>
        <v/>
      </c>
      <c r="C42" s="14" t="str">
        <f>IF(A42="","",UPPER(TRIM(Form_Raw_Data!C42)))</f>
        <v/>
      </c>
      <c r="D42" s="14" t="str">
        <f>IF(A42="","",UPPER(TRIM(Form_Raw_Data!D42)))</f>
        <v/>
      </c>
      <c r="E42" s="14" t="str">
        <f>IF(A42="","",TRIM(Form_Raw_Data!E42))</f>
        <v/>
      </c>
      <c r="F42" s="12" t="str">
        <f>IF(A42="","",IF(Form_Raw_Data!F42="","",Form_Raw_Data!F42&amp;""))</f>
        <v/>
      </c>
      <c r="G42" s="14" t="str">
        <f>IF(A42="","",IF(ISNUMBER(Form_Raw_Data!F42),IF(AND(Form_Raw_Data!F42&gt;=0,Form_Raw_Data!F42&lt;=24),Form_Raw_Data!F42,""),""))</f>
        <v/>
      </c>
      <c r="H42" s="14" t="str">
        <f>IF(A42="","",TRIM(Form_Raw_Data!G42))</f>
        <v/>
      </c>
      <c r="I42" s="15" t="str">
        <f t="shared" si="0"/>
        <v/>
      </c>
      <c r="J42" s="15" t="str">
        <f>IF(A42="","",IF(COUNTIF(Lists!$A$4:$A$53,C42)&gt;0,"YES","NO"))</f>
        <v/>
      </c>
      <c r="K42" s="15" t="str">
        <f>IF(A42="","",IF(COUNTIF(Lists!$I$4:$I$53,D42)&gt;0,"YES","NO"))</f>
        <v/>
      </c>
    </row>
    <row r="43" spans="1:11" x14ac:dyDescent="0.35">
      <c r="A43" s="12" t="str">
        <f>IF(Form_Raw_Data!A43="","",Form_Raw_Data!A43)</f>
        <v/>
      </c>
      <c r="B43" s="13" t="str">
        <f>IF(A43="","",Form_Raw_Data!B43)</f>
        <v/>
      </c>
      <c r="C43" s="14" t="str">
        <f>IF(A43="","",UPPER(TRIM(Form_Raw_Data!C43)))</f>
        <v/>
      </c>
      <c r="D43" s="14" t="str">
        <f>IF(A43="","",UPPER(TRIM(Form_Raw_Data!D43)))</f>
        <v/>
      </c>
      <c r="E43" s="14" t="str">
        <f>IF(A43="","",TRIM(Form_Raw_Data!E43))</f>
        <v/>
      </c>
      <c r="F43" s="12" t="str">
        <f>IF(A43="","",IF(Form_Raw_Data!F43="","",Form_Raw_Data!F43&amp;""))</f>
        <v/>
      </c>
      <c r="G43" s="14" t="str">
        <f>IF(A43="","",IF(ISNUMBER(Form_Raw_Data!F43),IF(AND(Form_Raw_Data!F43&gt;=0,Form_Raw_Data!F43&lt;=24),Form_Raw_Data!F43,""),""))</f>
        <v/>
      </c>
      <c r="H43" s="14" t="str">
        <f>IF(A43="","",TRIM(Form_Raw_Data!G43))</f>
        <v/>
      </c>
      <c r="I43" s="15" t="str">
        <f t="shared" si="0"/>
        <v/>
      </c>
      <c r="J43" s="15" t="str">
        <f>IF(A43="","",IF(COUNTIF(Lists!$A$4:$A$53,C43)&gt;0,"YES","NO"))</f>
        <v/>
      </c>
      <c r="K43" s="15" t="str">
        <f>IF(A43="","",IF(COUNTIF(Lists!$I$4:$I$53,D43)&gt;0,"YES","NO"))</f>
        <v/>
      </c>
    </row>
    <row r="44" spans="1:11" x14ac:dyDescent="0.35">
      <c r="A44" s="12" t="str">
        <f>IF(Form_Raw_Data!A44="","",Form_Raw_Data!A44)</f>
        <v/>
      </c>
      <c r="B44" s="13" t="str">
        <f>IF(A44="","",Form_Raw_Data!B44)</f>
        <v/>
      </c>
      <c r="C44" s="14" t="str">
        <f>IF(A44="","",UPPER(TRIM(Form_Raw_Data!C44)))</f>
        <v/>
      </c>
      <c r="D44" s="14" t="str">
        <f>IF(A44="","",UPPER(TRIM(Form_Raw_Data!D44)))</f>
        <v/>
      </c>
      <c r="E44" s="14" t="str">
        <f>IF(A44="","",TRIM(Form_Raw_Data!E44))</f>
        <v/>
      </c>
      <c r="F44" s="12" t="str">
        <f>IF(A44="","",IF(Form_Raw_Data!F44="","",Form_Raw_Data!F44&amp;""))</f>
        <v/>
      </c>
      <c r="G44" s="14" t="str">
        <f>IF(A44="","",IF(ISNUMBER(Form_Raw_Data!F44),IF(AND(Form_Raw_Data!F44&gt;=0,Form_Raw_Data!F44&lt;=24),Form_Raw_Data!F44,""),""))</f>
        <v/>
      </c>
      <c r="H44" s="14" t="str">
        <f>IF(A44="","",TRIM(Form_Raw_Data!G44))</f>
        <v/>
      </c>
      <c r="I44" s="15" t="str">
        <f t="shared" si="0"/>
        <v/>
      </c>
      <c r="J44" s="15" t="str">
        <f>IF(A44="","",IF(COUNTIF(Lists!$A$4:$A$53,C44)&gt;0,"YES","NO"))</f>
        <v/>
      </c>
      <c r="K44" s="15" t="str">
        <f>IF(A44="","",IF(COUNTIF(Lists!$I$4:$I$53,D44)&gt;0,"YES","NO"))</f>
        <v/>
      </c>
    </row>
    <row r="45" spans="1:11" x14ac:dyDescent="0.35">
      <c r="A45" s="12" t="str">
        <f>IF(Form_Raw_Data!A45="","",Form_Raw_Data!A45)</f>
        <v/>
      </c>
      <c r="B45" s="13" t="str">
        <f>IF(A45="","",Form_Raw_Data!B45)</f>
        <v/>
      </c>
      <c r="C45" s="14" t="str">
        <f>IF(A45="","",UPPER(TRIM(Form_Raw_Data!C45)))</f>
        <v/>
      </c>
      <c r="D45" s="14" t="str">
        <f>IF(A45="","",UPPER(TRIM(Form_Raw_Data!D45)))</f>
        <v/>
      </c>
      <c r="E45" s="14" t="str">
        <f>IF(A45="","",TRIM(Form_Raw_Data!E45))</f>
        <v/>
      </c>
      <c r="F45" s="12" t="str">
        <f>IF(A45="","",IF(Form_Raw_Data!F45="","",Form_Raw_Data!F45&amp;""))</f>
        <v/>
      </c>
      <c r="G45" s="14" t="str">
        <f>IF(A45="","",IF(ISNUMBER(Form_Raw_Data!F45),IF(AND(Form_Raw_Data!F45&gt;=0,Form_Raw_Data!F45&lt;=24),Form_Raw_Data!F45,""),""))</f>
        <v/>
      </c>
      <c r="H45" s="14" t="str">
        <f>IF(A45="","",TRIM(Form_Raw_Data!G45))</f>
        <v/>
      </c>
      <c r="I45" s="15" t="str">
        <f t="shared" si="0"/>
        <v/>
      </c>
      <c r="J45" s="15" t="str">
        <f>IF(A45="","",IF(COUNTIF(Lists!$A$4:$A$53,C45)&gt;0,"YES","NO"))</f>
        <v/>
      </c>
      <c r="K45" s="15" t="str">
        <f>IF(A45="","",IF(COUNTIF(Lists!$I$4:$I$53,D45)&gt;0,"YES","NO"))</f>
        <v/>
      </c>
    </row>
    <row r="46" spans="1:11" x14ac:dyDescent="0.35">
      <c r="A46" s="12" t="str">
        <f>IF(Form_Raw_Data!A46="","",Form_Raw_Data!A46)</f>
        <v/>
      </c>
      <c r="B46" s="13" t="str">
        <f>IF(A46="","",Form_Raw_Data!B46)</f>
        <v/>
      </c>
      <c r="C46" s="14" t="str">
        <f>IF(A46="","",UPPER(TRIM(Form_Raw_Data!C46)))</f>
        <v/>
      </c>
      <c r="D46" s="14" t="str">
        <f>IF(A46="","",UPPER(TRIM(Form_Raw_Data!D46)))</f>
        <v/>
      </c>
      <c r="E46" s="14" t="str">
        <f>IF(A46="","",TRIM(Form_Raw_Data!E46))</f>
        <v/>
      </c>
      <c r="F46" s="12" t="str">
        <f>IF(A46="","",IF(Form_Raw_Data!F46="","",Form_Raw_Data!F46&amp;""))</f>
        <v/>
      </c>
      <c r="G46" s="14" t="str">
        <f>IF(A46="","",IF(ISNUMBER(Form_Raw_Data!F46),IF(AND(Form_Raw_Data!F46&gt;=0,Form_Raw_Data!F46&lt;=24),Form_Raw_Data!F46,""),""))</f>
        <v/>
      </c>
      <c r="H46" s="14" t="str">
        <f>IF(A46="","",TRIM(Form_Raw_Data!G46))</f>
        <v/>
      </c>
      <c r="I46" s="15" t="str">
        <f t="shared" si="0"/>
        <v/>
      </c>
      <c r="J46" s="15" t="str">
        <f>IF(A46="","",IF(COUNTIF(Lists!$A$4:$A$53,C46)&gt;0,"YES","NO"))</f>
        <v/>
      </c>
      <c r="K46" s="15" t="str">
        <f>IF(A46="","",IF(COUNTIF(Lists!$I$4:$I$53,D46)&gt;0,"YES","NO"))</f>
        <v/>
      </c>
    </row>
    <row r="47" spans="1:11" x14ac:dyDescent="0.35">
      <c r="A47" s="12" t="str">
        <f>IF(Form_Raw_Data!A47="","",Form_Raw_Data!A47)</f>
        <v/>
      </c>
      <c r="B47" s="13" t="str">
        <f>IF(A47="","",Form_Raw_Data!B47)</f>
        <v/>
      </c>
      <c r="C47" s="14" t="str">
        <f>IF(A47="","",UPPER(TRIM(Form_Raw_Data!C47)))</f>
        <v/>
      </c>
      <c r="D47" s="14" t="str">
        <f>IF(A47="","",UPPER(TRIM(Form_Raw_Data!D47)))</f>
        <v/>
      </c>
      <c r="E47" s="14" t="str">
        <f>IF(A47="","",TRIM(Form_Raw_Data!E47))</f>
        <v/>
      </c>
      <c r="F47" s="12" t="str">
        <f>IF(A47="","",IF(Form_Raw_Data!F47="","",Form_Raw_Data!F47&amp;""))</f>
        <v/>
      </c>
      <c r="G47" s="14" t="str">
        <f>IF(A47="","",IF(ISNUMBER(Form_Raw_Data!F47),IF(AND(Form_Raw_Data!F47&gt;=0,Form_Raw_Data!F47&lt;=24),Form_Raw_Data!F47,""),""))</f>
        <v/>
      </c>
      <c r="H47" s="14" t="str">
        <f>IF(A47="","",TRIM(Form_Raw_Data!G47))</f>
        <v/>
      </c>
      <c r="I47" s="15" t="str">
        <f t="shared" si="0"/>
        <v/>
      </c>
      <c r="J47" s="15" t="str">
        <f>IF(A47="","",IF(COUNTIF(Lists!$A$4:$A$53,C47)&gt;0,"YES","NO"))</f>
        <v/>
      </c>
      <c r="K47" s="15" t="str">
        <f>IF(A47="","",IF(COUNTIF(Lists!$I$4:$I$53,D47)&gt;0,"YES","NO"))</f>
        <v/>
      </c>
    </row>
    <row r="48" spans="1:11" x14ac:dyDescent="0.35">
      <c r="A48" s="12" t="str">
        <f>IF(Form_Raw_Data!A48="","",Form_Raw_Data!A48)</f>
        <v/>
      </c>
      <c r="B48" s="13" t="str">
        <f>IF(A48="","",Form_Raw_Data!B48)</f>
        <v/>
      </c>
      <c r="C48" s="14" t="str">
        <f>IF(A48="","",UPPER(TRIM(Form_Raw_Data!C48)))</f>
        <v/>
      </c>
      <c r="D48" s="14" t="str">
        <f>IF(A48="","",UPPER(TRIM(Form_Raw_Data!D48)))</f>
        <v/>
      </c>
      <c r="E48" s="14" t="str">
        <f>IF(A48="","",TRIM(Form_Raw_Data!E48))</f>
        <v/>
      </c>
      <c r="F48" s="12" t="str">
        <f>IF(A48="","",IF(Form_Raw_Data!F48="","",Form_Raw_Data!F48&amp;""))</f>
        <v/>
      </c>
      <c r="G48" s="14" t="str">
        <f>IF(A48="","",IF(ISNUMBER(Form_Raw_Data!F48),IF(AND(Form_Raw_Data!F48&gt;=0,Form_Raw_Data!F48&lt;=24),Form_Raw_Data!F48,""),""))</f>
        <v/>
      </c>
      <c r="H48" s="14" t="str">
        <f>IF(A48="","",TRIM(Form_Raw_Data!G48))</f>
        <v/>
      </c>
      <c r="I48" s="15" t="str">
        <f t="shared" si="0"/>
        <v/>
      </c>
      <c r="J48" s="15" t="str">
        <f>IF(A48="","",IF(COUNTIF(Lists!$A$4:$A$53,C48)&gt;0,"YES","NO"))</f>
        <v/>
      </c>
      <c r="K48" s="15" t="str">
        <f>IF(A48="","",IF(COUNTIF(Lists!$I$4:$I$53,D48)&gt;0,"YES","NO"))</f>
        <v/>
      </c>
    </row>
    <row r="49" spans="1:11" x14ac:dyDescent="0.35">
      <c r="A49" s="12" t="str">
        <f>IF(Form_Raw_Data!A49="","",Form_Raw_Data!A49)</f>
        <v/>
      </c>
      <c r="B49" s="13" t="str">
        <f>IF(A49="","",Form_Raw_Data!B49)</f>
        <v/>
      </c>
      <c r="C49" s="14" t="str">
        <f>IF(A49="","",UPPER(TRIM(Form_Raw_Data!C49)))</f>
        <v/>
      </c>
      <c r="D49" s="14" t="str">
        <f>IF(A49="","",UPPER(TRIM(Form_Raw_Data!D49)))</f>
        <v/>
      </c>
      <c r="E49" s="14" t="str">
        <f>IF(A49="","",TRIM(Form_Raw_Data!E49))</f>
        <v/>
      </c>
      <c r="F49" s="12" t="str">
        <f>IF(A49="","",IF(Form_Raw_Data!F49="","",Form_Raw_Data!F49&amp;""))</f>
        <v/>
      </c>
      <c r="G49" s="14" t="str">
        <f>IF(A49="","",IF(ISNUMBER(Form_Raw_Data!F49),IF(AND(Form_Raw_Data!F49&gt;=0,Form_Raw_Data!F49&lt;=24),Form_Raw_Data!F49,""),""))</f>
        <v/>
      </c>
      <c r="H49" s="14" t="str">
        <f>IF(A49="","",TRIM(Form_Raw_Data!G49))</f>
        <v/>
      </c>
      <c r="I49" s="15" t="str">
        <f t="shared" si="0"/>
        <v/>
      </c>
      <c r="J49" s="15" t="str">
        <f>IF(A49="","",IF(COUNTIF(Lists!$A$4:$A$53,C49)&gt;0,"YES","NO"))</f>
        <v/>
      </c>
      <c r="K49" s="15" t="str">
        <f>IF(A49="","",IF(COUNTIF(Lists!$I$4:$I$53,D49)&gt;0,"YES","NO"))</f>
        <v/>
      </c>
    </row>
    <row r="50" spans="1:11" x14ac:dyDescent="0.35">
      <c r="A50" s="12" t="str">
        <f>IF(Form_Raw_Data!A50="","",Form_Raw_Data!A50)</f>
        <v/>
      </c>
      <c r="B50" s="13" t="str">
        <f>IF(A50="","",Form_Raw_Data!B50)</f>
        <v/>
      </c>
      <c r="C50" s="14" t="str">
        <f>IF(A50="","",UPPER(TRIM(Form_Raw_Data!C50)))</f>
        <v/>
      </c>
      <c r="D50" s="14" t="str">
        <f>IF(A50="","",UPPER(TRIM(Form_Raw_Data!D50)))</f>
        <v/>
      </c>
      <c r="E50" s="14" t="str">
        <f>IF(A50="","",TRIM(Form_Raw_Data!E50))</f>
        <v/>
      </c>
      <c r="F50" s="12" t="str">
        <f>IF(A50="","",IF(Form_Raw_Data!F50="","",Form_Raw_Data!F50&amp;""))</f>
        <v/>
      </c>
      <c r="G50" s="14" t="str">
        <f>IF(A50="","",IF(ISNUMBER(Form_Raw_Data!F50),IF(AND(Form_Raw_Data!F50&gt;=0,Form_Raw_Data!F50&lt;=24),Form_Raw_Data!F50,""),""))</f>
        <v/>
      </c>
      <c r="H50" s="14" t="str">
        <f>IF(A50="","",TRIM(Form_Raw_Data!G50))</f>
        <v/>
      </c>
      <c r="I50" s="15" t="str">
        <f t="shared" si="0"/>
        <v/>
      </c>
      <c r="J50" s="15" t="str">
        <f>IF(A50="","",IF(COUNTIF(Lists!$A$4:$A$53,C50)&gt;0,"YES","NO"))</f>
        <v/>
      </c>
      <c r="K50" s="15" t="str">
        <f>IF(A50="","",IF(COUNTIF(Lists!$I$4:$I$53,D50)&gt;0,"YES","NO"))</f>
        <v/>
      </c>
    </row>
    <row r="51" spans="1:11" x14ac:dyDescent="0.35">
      <c r="A51" s="12" t="str">
        <f>IF(Form_Raw_Data!A51="","",Form_Raw_Data!A51)</f>
        <v/>
      </c>
      <c r="B51" s="13" t="str">
        <f>IF(A51="","",Form_Raw_Data!B51)</f>
        <v/>
      </c>
      <c r="C51" s="14" t="str">
        <f>IF(A51="","",UPPER(TRIM(Form_Raw_Data!C51)))</f>
        <v/>
      </c>
      <c r="D51" s="14" t="str">
        <f>IF(A51="","",UPPER(TRIM(Form_Raw_Data!D51)))</f>
        <v/>
      </c>
      <c r="E51" s="14" t="str">
        <f>IF(A51="","",TRIM(Form_Raw_Data!E51))</f>
        <v/>
      </c>
      <c r="F51" s="12" t="str">
        <f>IF(A51="","",IF(Form_Raw_Data!F51="","",Form_Raw_Data!F51&amp;""))</f>
        <v/>
      </c>
      <c r="G51" s="14" t="str">
        <f>IF(A51="","",IF(ISNUMBER(Form_Raw_Data!F51),IF(AND(Form_Raw_Data!F51&gt;=0,Form_Raw_Data!F51&lt;=24),Form_Raw_Data!F51,""),""))</f>
        <v/>
      </c>
      <c r="H51" s="14" t="str">
        <f>IF(A51="","",TRIM(Form_Raw_Data!G51))</f>
        <v/>
      </c>
      <c r="I51" s="15" t="str">
        <f t="shared" si="0"/>
        <v/>
      </c>
      <c r="J51" s="15" t="str">
        <f>IF(A51="","",IF(COUNTIF(Lists!$A$4:$A$53,C51)&gt;0,"YES","NO"))</f>
        <v/>
      </c>
      <c r="K51" s="15" t="str">
        <f>IF(A51="","",IF(COUNTIF(Lists!$I$4:$I$53,D51)&gt;0,"YES","NO"))</f>
        <v/>
      </c>
    </row>
    <row r="52" spans="1:11" x14ac:dyDescent="0.35">
      <c r="A52" s="12" t="str">
        <f>IF(Form_Raw_Data!A52="","",Form_Raw_Data!A52)</f>
        <v/>
      </c>
      <c r="B52" s="13" t="str">
        <f>IF(A52="","",Form_Raw_Data!B52)</f>
        <v/>
      </c>
      <c r="C52" s="14" t="str">
        <f>IF(A52="","",UPPER(TRIM(Form_Raw_Data!C52)))</f>
        <v/>
      </c>
      <c r="D52" s="14" t="str">
        <f>IF(A52="","",UPPER(TRIM(Form_Raw_Data!D52)))</f>
        <v/>
      </c>
      <c r="E52" s="14" t="str">
        <f>IF(A52="","",TRIM(Form_Raw_Data!E52))</f>
        <v/>
      </c>
      <c r="F52" s="12" t="str">
        <f>IF(A52="","",IF(Form_Raw_Data!F52="","",Form_Raw_Data!F52&amp;""))</f>
        <v/>
      </c>
      <c r="G52" s="14" t="str">
        <f>IF(A52="","",IF(ISNUMBER(Form_Raw_Data!F52),IF(AND(Form_Raw_Data!F52&gt;=0,Form_Raw_Data!F52&lt;=24),Form_Raw_Data!F52,""),""))</f>
        <v/>
      </c>
      <c r="H52" s="14" t="str">
        <f>IF(A52="","",TRIM(Form_Raw_Data!G52))</f>
        <v/>
      </c>
      <c r="I52" s="15" t="str">
        <f t="shared" si="0"/>
        <v/>
      </c>
      <c r="J52" s="15" t="str">
        <f>IF(A52="","",IF(COUNTIF(Lists!$A$4:$A$53,C52)&gt;0,"YES","NO"))</f>
        <v/>
      </c>
      <c r="K52" s="15" t="str">
        <f>IF(A52="","",IF(COUNTIF(Lists!$I$4:$I$53,D52)&gt;0,"YES","NO"))</f>
        <v/>
      </c>
    </row>
    <row r="53" spans="1:11" x14ac:dyDescent="0.35">
      <c r="A53" s="12" t="str">
        <f>IF(Form_Raw_Data!A53="","",Form_Raw_Data!A53)</f>
        <v/>
      </c>
      <c r="B53" s="13" t="str">
        <f>IF(A53="","",Form_Raw_Data!B53)</f>
        <v/>
      </c>
      <c r="C53" s="14" t="str">
        <f>IF(A53="","",UPPER(TRIM(Form_Raw_Data!C53)))</f>
        <v/>
      </c>
      <c r="D53" s="14" t="str">
        <f>IF(A53="","",UPPER(TRIM(Form_Raw_Data!D53)))</f>
        <v/>
      </c>
      <c r="E53" s="14" t="str">
        <f>IF(A53="","",TRIM(Form_Raw_Data!E53))</f>
        <v/>
      </c>
      <c r="F53" s="12" t="str">
        <f>IF(A53="","",IF(Form_Raw_Data!F53="","",Form_Raw_Data!F53&amp;""))</f>
        <v/>
      </c>
      <c r="G53" s="14" t="str">
        <f>IF(A53="","",IF(ISNUMBER(Form_Raw_Data!F53),IF(AND(Form_Raw_Data!F53&gt;=0,Form_Raw_Data!F53&lt;=24),Form_Raw_Data!F53,""),""))</f>
        <v/>
      </c>
      <c r="H53" s="14" t="str">
        <f>IF(A53="","",TRIM(Form_Raw_Data!G53))</f>
        <v/>
      </c>
      <c r="I53" s="15" t="str">
        <f t="shared" si="0"/>
        <v/>
      </c>
      <c r="J53" s="15" t="str">
        <f>IF(A53="","",IF(COUNTIF(Lists!$A$4:$A$53,C53)&gt;0,"YES","NO"))</f>
        <v/>
      </c>
      <c r="K53" s="15" t="str">
        <f>IF(A53="","",IF(COUNTIF(Lists!$I$4:$I$53,D53)&gt;0,"YES","NO"))</f>
        <v/>
      </c>
    </row>
    <row r="54" spans="1:11" x14ac:dyDescent="0.35">
      <c r="A54" s="12" t="str">
        <f>IF(Form_Raw_Data!A54="","",Form_Raw_Data!A54)</f>
        <v/>
      </c>
      <c r="B54" s="13" t="str">
        <f>IF(A54="","",Form_Raw_Data!B54)</f>
        <v/>
      </c>
      <c r="C54" s="14" t="str">
        <f>IF(A54="","",UPPER(TRIM(Form_Raw_Data!C54)))</f>
        <v/>
      </c>
      <c r="D54" s="14" t="str">
        <f>IF(A54="","",UPPER(TRIM(Form_Raw_Data!D54)))</f>
        <v/>
      </c>
      <c r="E54" s="14" t="str">
        <f>IF(A54="","",TRIM(Form_Raw_Data!E54))</f>
        <v/>
      </c>
      <c r="F54" s="12" t="str">
        <f>IF(A54="","",IF(Form_Raw_Data!F54="","",Form_Raw_Data!F54&amp;""))</f>
        <v/>
      </c>
      <c r="G54" s="14" t="str">
        <f>IF(A54="","",IF(ISNUMBER(Form_Raw_Data!F54),IF(AND(Form_Raw_Data!F54&gt;=0,Form_Raw_Data!F54&lt;=24),Form_Raw_Data!F54,""),""))</f>
        <v/>
      </c>
      <c r="H54" s="14" t="str">
        <f>IF(A54="","",TRIM(Form_Raw_Data!G54))</f>
        <v/>
      </c>
      <c r="I54" s="15" t="str">
        <f t="shared" si="0"/>
        <v/>
      </c>
      <c r="J54" s="15" t="str">
        <f>IF(A54="","",IF(COUNTIF(Lists!$A$4:$A$53,C54)&gt;0,"YES","NO"))</f>
        <v/>
      </c>
      <c r="K54" s="15" t="str">
        <f>IF(A54="","",IF(COUNTIF(Lists!$I$4:$I$53,D54)&gt;0,"YES","NO"))</f>
        <v/>
      </c>
    </row>
    <row r="55" spans="1:11" x14ac:dyDescent="0.35">
      <c r="A55" s="12" t="str">
        <f>IF(Form_Raw_Data!A55="","",Form_Raw_Data!A55)</f>
        <v/>
      </c>
      <c r="B55" s="13" t="str">
        <f>IF(A55="","",Form_Raw_Data!B55)</f>
        <v/>
      </c>
      <c r="C55" s="14" t="str">
        <f>IF(A55="","",UPPER(TRIM(Form_Raw_Data!C55)))</f>
        <v/>
      </c>
      <c r="D55" s="14" t="str">
        <f>IF(A55="","",UPPER(TRIM(Form_Raw_Data!D55)))</f>
        <v/>
      </c>
      <c r="E55" s="14" t="str">
        <f>IF(A55="","",TRIM(Form_Raw_Data!E55))</f>
        <v/>
      </c>
      <c r="F55" s="12" t="str">
        <f>IF(A55="","",IF(Form_Raw_Data!F55="","",Form_Raw_Data!F55&amp;""))</f>
        <v/>
      </c>
      <c r="G55" s="14" t="str">
        <f>IF(A55="","",IF(ISNUMBER(Form_Raw_Data!F55),IF(AND(Form_Raw_Data!F55&gt;=0,Form_Raw_Data!F55&lt;=24),Form_Raw_Data!F55,""),""))</f>
        <v/>
      </c>
      <c r="H55" s="14" t="str">
        <f>IF(A55="","",TRIM(Form_Raw_Data!G55))</f>
        <v/>
      </c>
      <c r="I55" s="15" t="str">
        <f t="shared" si="0"/>
        <v/>
      </c>
      <c r="J55" s="15" t="str">
        <f>IF(A55="","",IF(COUNTIF(Lists!$A$4:$A$53,C55)&gt;0,"YES","NO"))</f>
        <v/>
      </c>
      <c r="K55" s="15" t="str">
        <f>IF(A55="","",IF(COUNTIF(Lists!$I$4:$I$53,D55)&gt;0,"YES","NO"))</f>
        <v/>
      </c>
    </row>
    <row r="56" spans="1:11" x14ac:dyDescent="0.35">
      <c r="A56" s="12" t="str">
        <f>IF(Form_Raw_Data!A56="","",Form_Raw_Data!A56)</f>
        <v/>
      </c>
      <c r="B56" s="13" t="str">
        <f>IF(A56="","",Form_Raw_Data!B56)</f>
        <v/>
      </c>
      <c r="C56" s="14" t="str">
        <f>IF(A56="","",UPPER(TRIM(Form_Raw_Data!C56)))</f>
        <v/>
      </c>
      <c r="D56" s="14" t="str">
        <f>IF(A56="","",UPPER(TRIM(Form_Raw_Data!D56)))</f>
        <v/>
      </c>
      <c r="E56" s="14" t="str">
        <f>IF(A56="","",TRIM(Form_Raw_Data!E56))</f>
        <v/>
      </c>
      <c r="F56" s="12" t="str">
        <f>IF(A56="","",IF(Form_Raw_Data!F56="","",Form_Raw_Data!F56&amp;""))</f>
        <v/>
      </c>
      <c r="G56" s="14" t="str">
        <f>IF(A56="","",IF(ISNUMBER(Form_Raw_Data!F56),IF(AND(Form_Raw_Data!F56&gt;=0,Form_Raw_Data!F56&lt;=24),Form_Raw_Data!F56,""),""))</f>
        <v/>
      </c>
      <c r="H56" s="14" t="str">
        <f>IF(A56="","",TRIM(Form_Raw_Data!G56))</f>
        <v/>
      </c>
      <c r="I56" s="15" t="str">
        <f t="shared" si="0"/>
        <v/>
      </c>
      <c r="J56" s="15" t="str">
        <f>IF(A56="","",IF(COUNTIF(Lists!$A$4:$A$53,C56)&gt;0,"YES","NO"))</f>
        <v/>
      </c>
      <c r="K56" s="15" t="str">
        <f>IF(A56="","",IF(COUNTIF(Lists!$I$4:$I$53,D56)&gt;0,"YES","NO"))</f>
        <v/>
      </c>
    </row>
    <row r="57" spans="1:11" x14ac:dyDescent="0.35">
      <c r="A57" s="12" t="str">
        <f>IF(Form_Raw_Data!A57="","",Form_Raw_Data!A57)</f>
        <v/>
      </c>
      <c r="B57" s="13" t="str">
        <f>IF(A57="","",Form_Raw_Data!B57)</f>
        <v/>
      </c>
      <c r="C57" s="14" t="str">
        <f>IF(A57="","",UPPER(TRIM(Form_Raw_Data!C57)))</f>
        <v/>
      </c>
      <c r="D57" s="14" t="str">
        <f>IF(A57="","",UPPER(TRIM(Form_Raw_Data!D57)))</f>
        <v/>
      </c>
      <c r="E57" s="14" t="str">
        <f>IF(A57="","",TRIM(Form_Raw_Data!E57))</f>
        <v/>
      </c>
      <c r="F57" s="12" t="str">
        <f>IF(A57="","",IF(Form_Raw_Data!F57="","",Form_Raw_Data!F57&amp;""))</f>
        <v/>
      </c>
      <c r="G57" s="14" t="str">
        <f>IF(A57="","",IF(ISNUMBER(Form_Raw_Data!F57),IF(AND(Form_Raw_Data!F57&gt;=0,Form_Raw_Data!F57&lt;=24),Form_Raw_Data!F57,""),""))</f>
        <v/>
      </c>
      <c r="H57" s="14" t="str">
        <f>IF(A57="","",TRIM(Form_Raw_Data!G57))</f>
        <v/>
      </c>
      <c r="I57" s="15" t="str">
        <f t="shared" si="0"/>
        <v/>
      </c>
      <c r="J57" s="15" t="str">
        <f>IF(A57="","",IF(COUNTIF(Lists!$A$4:$A$53,C57)&gt;0,"YES","NO"))</f>
        <v/>
      </c>
      <c r="K57" s="15" t="str">
        <f>IF(A57="","",IF(COUNTIF(Lists!$I$4:$I$53,D57)&gt;0,"YES","NO"))</f>
        <v/>
      </c>
    </row>
    <row r="58" spans="1:11" x14ac:dyDescent="0.35">
      <c r="A58" s="12" t="str">
        <f>IF(Form_Raw_Data!A58="","",Form_Raw_Data!A58)</f>
        <v/>
      </c>
      <c r="B58" s="13" t="str">
        <f>IF(A58="","",Form_Raw_Data!B58)</f>
        <v/>
      </c>
      <c r="C58" s="14" t="str">
        <f>IF(A58="","",UPPER(TRIM(Form_Raw_Data!C58)))</f>
        <v/>
      </c>
      <c r="D58" s="14" t="str">
        <f>IF(A58="","",UPPER(TRIM(Form_Raw_Data!D58)))</f>
        <v/>
      </c>
      <c r="E58" s="14" t="str">
        <f>IF(A58="","",TRIM(Form_Raw_Data!E58))</f>
        <v/>
      </c>
      <c r="F58" s="12" t="str">
        <f>IF(A58="","",IF(Form_Raw_Data!F58="","",Form_Raw_Data!F58&amp;""))</f>
        <v/>
      </c>
      <c r="G58" s="14" t="str">
        <f>IF(A58="","",IF(ISNUMBER(Form_Raw_Data!F58),IF(AND(Form_Raw_Data!F58&gt;=0,Form_Raw_Data!F58&lt;=24),Form_Raw_Data!F58,""),""))</f>
        <v/>
      </c>
      <c r="H58" s="14" t="str">
        <f>IF(A58="","",TRIM(Form_Raw_Data!G58))</f>
        <v/>
      </c>
      <c r="I58" s="15" t="str">
        <f t="shared" si="0"/>
        <v/>
      </c>
      <c r="J58" s="15" t="str">
        <f>IF(A58="","",IF(COUNTIF(Lists!$A$4:$A$53,C58)&gt;0,"YES","NO"))</f>
        <v/>
      </c>
      <c r="K58" s="15" t="str">
        <f>IF(A58="","",IF(COUNTIF(Lists!$I$4:$I$53,D58)&gt;0,"YES","NO"))</f>
        <v/>
      </c>
    </row>
    <row r="59" spans="1:11" x14ac:dyDescent="0.35">
      <c r="A59" s="12" t="str">
        <f>IF(Form_Raw_Data!A59="","",Form_Raw_Data!A59)</f>
        <v/>
      </c>
      <c r="B59" s="13" t="str">
        <f>IF(A59="","",Form_Raw_Data!B59)</f>
        <v/>
      </c>
      <c r="C59" s="14" t="str">
        <f>IF(A59="","",UPPER(TRIM(Form_Raw_Data!C59)))</f>
        <v/>
      </c>
      <c r="D59" s="14" t="str">
        <f>IF(A59="","",UPPER(TRIM(Form_Raw_Data!D59)))</f>
        <v/>
      </c>
      <c r="E59" s="14" t="str">
        <f>IF(A59="","",TRIM(Form_Raw_Data!E59))</f>
        <v/>
      </c>
      <c r="F59" s="12" t="str">
        <f>IF(A59="","",IF(Form_Raw_Data!F59="","",Form_Raw_Data!F59&amp;""))</f>
        <v/>
      </c>
      <c r="G59" s="14" t="str">
        <f>IF(A59="","",IF(ISNUMBER(Form_Raw_Data!F59),IF(AND(Form_Raw_Data!F59&gt;=0,Form_Raw_Data!F59&lt;=24),Form_Raw_Data!F59,""),""))</f>
        <v/>
      </c>
      <c r="H59" s="14" t="str">
        <f>IF(A59="","",TRIM(Form_Raw_Data!G59))</f>
        <v/>
      </c>
      <c r="I59" s="15" t="str">
        <f t="shared" si="0"/>
        <v/>
      </c>
      <c r="J59" s="15" t="str">
        <f>IF(A59="","",IF(COUNTIF(Lists!$A$4:$A$53,C59)&gt;0,"YES","NO"))</f>
        <v/>
      </c>
      <c r="K59" s="15" t="str">
        <f>IF(A59="","",IF(COUNTIF(Lists!$I$4:$I$53,D59)&gt;0,"YES","NO"))</f>
        <v/>
      </c>
    </row>
    <row r="60" spans="1:11" x14ac:dyDescent="0.35">
      <c r="A60" s="12" t="str">
        <f>IF(Form_Raw_Data!A60="","",Form_Raw_Data!A60)</f>
        <v/>
      </c>
      <c r="B60" s="13" t="str">
        <f>IF(A60="","",Form_Raw_Data!B60)</f>
        <v/>
      </c>
      <c r="C60" s="14" t="str">
        <f>IF(A60="","",UPPER(TRIM(Form_Raw_Data!C60)))</f>
        <v/>
      </c>
      <c r="D60" s="14" t="str">
        <f>IF(A60="","",UPPER(TRIM(Form_Raw_Data!D60)))</f>
        <v/>
      </c>
      <c r="E60" s="14" t="str">
        <f>IF(A60="","",TRIM(Form_Raw_Data!E60))</f>
        <v/>
      </c>
      <c r="F60" s="12" t="str">
        <f>IF(A60="","",IF(Form_Raw_Data!F60="","",Form_Raw_Data!F60&amp;""))</f>
        <v/>
      </c>
      <c r="G60" s="14" t="str">
        <f>IF(A60="","",IF(ISNUMBER(Form_Raw_Data!F60),IF(AND(Form_Raw_Data!F60&gt;=0,Form_Raw_Data!F60&lt;=24),Form_Raw_Data!F60,""),""))</f>
        <v/>
      </c>
      <c r="H60" s="14" t="str">
        <f>IF(A60="","",TRIM(Form_Raw_Data!G60))</f>
        <v/>
      </c>
      <c r="I60" s="15" t="str">
        <f t="shared" si="0"/>
        <v/>
      </c>
      <c r="J60" s="15" t="str">
        <f>IF(A60="","",IF(COUNTIF(Lists!$A$4:$A$53,C60)&gt;0,"YES","NO"))</f>
        <v/>
      </c>
      <c r="K60" s="15" t="str">
        <f>IF(A60="","",IF(COUNTIF(Lists!$I$4:$I$53,D60)&gt;0,"YES","NO"))</f>
        <v/>
      </c>
    </row>
    <row r="61" spans="1:11" x14ac:dyDescent="0.35">
      <c r="A61" s="12" t="str">
        <f>IF(Form_Raw_Data!A61="","",Form_Raw_Data!A61)</f>
        <v/>
      </c>
      <c r="B61" s="13" t="str">
        <f>IF(A61="","",Form_Raw_Data!B61)</f>
        <v/>
      </c>
      <c r="C61" s="14" t="str">
        <f>IF(A61="","",UPPER(TRIM(Form_Raw_Data!C61)))</f>
        <v/>
      </c>
      <c r="D61" s="14" t="str">
        <f>IF(A61="","",UPPER(TRIM(Form_Raw_Data!D61)))</f>
        <v/>
      </c>
      <c r="E61" s="14" t="str">
        <f>IF(A61="","",TRIM(Form_Raw_Data!E61))</f>
        <v/>
      </c>
      <c r="F61" s="12" t="str">
        <f>IF(A61="","",IF(Form_Raw_Data!F61="","",Form_Raw_Data!F61&amp;""))</f>
        <v/>
      </c>
      <c r="G61" s="14" t="str">
        <f>IF(A61="","",IF(ISNUMBER(Form_Raw_Data!F61),IF(AND(Form_Raw_Data!F61&gt;=0,Form_Raw_Data!F61&lt;=24),Form_Raw_Data!F61,""),""))</f>
        <v/>
      </c>
      <c r="H61" s="14" t="str">
        <f>IF(A61="","",TRIM(Form_Raw_Data!G61))</f>
        <v/>
      </c>
      <c r="I61" s="15" t="str">
        <f t="shared" si="0"/>
        <v/>
      </c>
      <c r="J61" s="15" t="str">
        <f>IF(A61="","",IF(COUNTIF(Lists!$A$4:$A$53,C61)&gt;0,"YES","NO"))</f>
        <v/>
      </c>
      <c r="K61" s="15" t="str">
        <f>IF(A61="","",IF(COUNTIF(Lists!$I$4:$I$53,D61)&gt;0,"YES","NO"))</f>
        <v/>
      </c>
    </row>
    <row r="62" spans="1:11" x14ac:dyDescent="0.35">
      <c r="A62" s="12" t="str">
        <f>IF(Form_Raw_Data!A62="","",Form_Raw_Data!A62)</f>
        <v/>
      </c>
      <c r="B62" s="13" t="str">
        <f>IF(A62="","",Form_Raw_Data!B62)</f>
        <v/>
      </c>
      <c r="C62" s="14" t="str">
        <f>IF(A62="","",UPPER(TRIM(Form_Raw_Data!C62)))</f>
        <v/>
      </c>
      <c r="D62" s="14" t="str">
        <f>IF(A62="","",UPPER(TRIM(Form_Raw_Data!D62)))</f>
        <v/>
      </c>
      <c r="E62" s="14" t="str">
        <f>IF(A62="","",TRIM(Form_Raw_Data!E62))</f>
        <v/>
      </c>
      <c r="F62" s="12" t="str">
        <f>IF(A62="","",IF(Form_Raw_Data!F62="","",Form_Raw_Data!F62&amp;""))</f>
        <v/>
      </c>
      <c r="G62" s="14" t="str">
        <f>IF(A62="","",IF(ISNUMBER(Form_Raw_Data!F62),IF(AND(Form_Raw_Data!F62&gt;=0,Form_Raw_Data!F62&lt;=24),Form_Raw_Data!F62,""),""))</f>
        <v/>
      </c>
      <c r="H62" s="14" t="str">
        <f>IF(A62="","",TRIM(Form_Raw_Data!G62))</f>
        <v/>
      </c>
      <c r="I62" s="15" t="str">
        <f t="shared" si="0"/>
        <v/>
      </c>
      <c r="J62" s="15" t="str">
        <f>IF(A62="","",IF(COUNTIF(Lists!$A$4:$A$53,C62)&gt;0,"YES","NO"))</f>
        <v/>
      </c>
      <c r="K62" s="15" t="str">
        <f>IF(A62="","",IF(COUNTIF(Lists!$I$4:$I$53,D62)&gt;0,"YES","NO"))</f>
        <v/>
      </c>
    </row>
    <row r="63" spans="1:11" x14ac:dyDescent="0.35">
      <c r="A63" s="12" t="str">
        <f>IF(Form_Raw_Data!A63="","",Form_Raw_Data!A63)</f>
        <v/>
      </c>
      <c r="B63" s="13" t="str">
        <f>IF(A63="","",Form_Raw_Data!B63)</f>
        <v/>
      </c>
      <c r="C63" s="14" t="str">
        <f>IF(A63="","",UPPER(TRIM(Form_Raw_Data!C63)))</f>
        <v/>
      </c>
      <c r="D63" s="14" t="str">
        <f>IF(A63="","",UPPER(TRIM(Form_Raw_Data!D63)))</f>
        <v/>
      </c>
      <c r="E63" s="14" t="str">
        <f>IF(A63="","",TRIM(Form_Raw_Data!E63))</f>
        <v/>
      </c>
      <c r="F63" s="12" t="str">
        <f>IF(A63="","",IF(Form_Raw_Data!F63="","",Form_Raw_Data!F63&amp;""))</f>
        <v/>
      </c>
      <c r="G63" s="14" t="str">
        <f>IF(A63="","",IF(ISNUMBER(Form_Raw_Data!F63),IF(AND(Form_Raw_Data!F63&gt;=0,Form_Raw_Data!F63&lt;=24),Form_Raw_Data!F63,""),""))</f>
        <v/>
      </c>
      <c r="H63" s="14" t="str">
        <f>IF(A63="","",TRIM(Form_Raw_Data!G63))</f>
        <v/>
      </c>
      <c r="I63" s="15" t="str">
        <f t="shared" si="0"/>
        <v/>
      </c>
      <c r="J63" s="15" t="str">
        <f>IF(A63="","",IF(COUNTIF(Lists!$A$4:$A$53,C63)&gt;0,"YES","NO"))</f>
        <v/>
      </c>
      <c r="K63" s="15" t="str">
        <f>IF(A63="","",IF(COUNTIF(Lists!$I$4:$I$53,D63)&gt;0,"YES","NO"))</f>
        <v/>
      </c>
    </row>
    <row r="64" spans="1:11" x14ac:dyDescent="0.35">
      <c r="A64" s="12" t="str">
        <f>IF(Form_Raw_Data!A64="","",Form_Raw_Data!A64)</f>
        <v/>
      </c>
      <c r="B64" s="13" t="str">
        <f>IF(A64="","",Form_Raw_Data!B64)</f>
        <v/>
      </c>
      <c r="C64" s="14" t="str">
        <f>IF(A64="","",UPPER(TRIM(Form_Raw_Data!C64)))</f>
        <v/>
      </c>
      <c r="D64" s="14" t="str">
        <f>IF(A64="","",UPPER(TRIM(Form_Raw_Data!D64)))</f>
        <v/>
      </c>
      <c r="E64" s="14" t="str">
        <f>IF(A64="","",TRIM(Form_Raw_Data!E64))</f>
        <v/>
      </c>
      <c r="F64" s="12" t="str">
        <f>IF(A64="","",IF(Form_Raw_Data!F64="","",Form_Raw_Data!F64&amp;""))</f>
        <v/>
      </c>
      <c r="G64" s="14" t="str">
        <f>IF(A64="","",IF(ISNUMBER(Form_Raw_Data!F64),IF(AND(Form_Raw_Data!F64&gt;=0,Form_Raw_Data!F64&lt;=24),Form_Raw_Data!F64,""),""))</f>
        <v/>
      </c>
      <c r="H64" s="14" t="str">
        <f>IF(A64="","",TRIM(Form_Raw_Data!G64))</f>
        <v/>
      </c>
      <c r="I64" s="15" t="str">
        <f t="shared" si="0"/>
        <v/>
      </c>
      <c r="J64" s="15" t="str">
        <f>IF(A64="","",IF(COUNTIF(Lists!$A$4:$A$53,C64)&gt;0,"YES","NO"))</f>
        <v/>
      </c>
      <c r="K64" s="15" t="str">
        <f>IF(A64="","",IF(COUNTIF(Lists!$I$4:$I$53,D64)&gt;0,"YES","NO"))</f>
        <v/>
      </c>
    </row>
    <row r="65" spans="1:11" x14ac:dyDescent="0.35">
      <c r="A65" s="12" t="str">
        <f>IF(Form_Raw_Data!A65="","",Form_Raw_Data!A65)</f>
        <v/>
      </c>
      <c r="B65" s="13" t="str">
        <f>IF(A65="","",Form_Raw_Data!B65)</f>
        <v/>
      </c>
      <c r="C65" s="14" t="str">
        <f>IF(A65="","",UPPER(TRIM(Form_Raw_Data!C65)))</f>
        <v/>
      </c>
      <c r="D65" s="14" t="str">
        <f>IF(A65="","",UPPER(TRIM(Form_Raw_Data!D65)))</f>
        <v/>
      </c>
      <c r="E65" s="14" t="str">
        <f>IF(A65="","",TRIM(Form_Raw_Data!E65))</f>
        <v/>
      </c>
      <c r="F65" s="12" t="str">
        <f>IF(A65="","",IF(Form_Raw_Data!F65="","",Form_Raw_Data!F65&amp;""))</f>
        <v/>
      </c>
      <c r="G65" s="14" t="str">
        <f>IF(A65="","",IF(ISNUMBER(Form_Raw_Data!F65),IF(AND(Form_Raw_Data!F65&gt;=0,Form_Raw_Data!F65&lt;=24),Form_Raw_Data!F65,""),""))</f>
        <v/>
      </c>
      <c r="H65" s="14" t="str">
        <f>IF(A65="","",TRIM(Form_Raw_Data!G65))</f>
        <v/>
      </c>
      <c r="I65" s="15" t="str">
        <f t="shared" si="0"/>
        <v/>
      </c>
      <c r="J65" s="15" t="str">
        <f>IF(A65="","",IF(COUNTIF(Lists!$A$4:$A$53,C65)&gt;0,"YES","NO"))</f>
        <v/>
      </c>
      <c r="K65" s="15" t="str">
        <f>IF(A65="","",IF(COUNTIF(Lists!$I$4:$I$53,D65)&gt;0,"YES","NO"))</f>
        <v/>
      </c>
    </row>
    <row r="66" spans="1:11" x14ac:dyDescent="0.35">
      <c r="A66" s="12" t="str">
        <f>IF(Form_Raw_Data!A66="","",Form_Raw_Data!A66)</f>
        <v/>
      </c>
      <c r="B66" s="13" t="str">
        <f>IF(A66="","",Form_Raw_Data!B66)</f>
        <v/>
      </c>
      <c r="C66" s="14" t="str">
        <f>IF(A66="","",UPPER(TRIM(Form_Raw_Data!C66)))</f>
        <v/>
      </c>
      <c r="D66" s="14" t="str">
        <f>IF(A66="","",UPPER(TRIM(Form_Raw_Data!D66)))</f>
        <v/>
      </c>
      <c r="E66" s="14" t="str">
        <f>IF(A66="","",TRIM(Form_Raw_Data!E66))</f>
        <v/>
      </c>
      <c r="F66" s="12" t="str">
        <f>IF(A66="","",IF(Form_Raw_Data!F66="","",Form_Raw_Data!F66&amp;""))</f>
        <v/>
      </c>
      <c r="G66" s="14" t="str">
        <f>IF(A66="","",IF(ISNUMBER(Form_Raw_Data!F66),IF(AND(Form_Raw_Data!F66&gt;=0,Form_Raw_Data!F66&lt;=24),Form_Raw_Data!F66,""),""))</f>
        <v/>
      </c>
      <c r="H66" s="14" t="str">
        <f>IF(A66="","",TRIM(Form_Raw_Data!G66))</f>
        <v/>
      </c>
      <c r="I66" s="15" t="str">
        <f t="shared" si="0"/>
        <v/>
      </c>
      <c r="J66" s="15" t="str">
        <f>IF(A66="","",IF(COUNTIF(Lists!$A$4:$A$53,C66)&gt;0,"YES","NO"))</f>
        <v/>
      </c>
      <c r="K66" s="15" t="str">
        <f>IF(A66="","",IF(COUNTIF(Lists!$I$4:$I$53,D66)&gt;0,"YES","NO"))</f>
        <v/>
      </c>
    </row>
    <row r="67" spans="1:11" x14ac:dyDescent="0.35">
      <c r="A67" s="12" t="str">
        <f>IF(Form_Raw_Data!A67="","",Form_Raw_Data!A67)</f>
        <v/>
      </c>
      <c r="B67" s="13" t="str">
        <f>IF(A67="","",Form_Raw_Data!B67)</f>
        <v/>
      </c>
      <c r="C67" s="14" t="str">
        <f>IF(A67="","",UPPER(TRIM(Form_Raw_Data!C67)))</f>
        <v/>
      </c>
      <c r="D67" s="14" t="str">
        <f>IF(A67="","",UPPER(TRIM(Form_Raw_Data!D67)))</f>
        <v/>
      </c>
      <c r="E67" s="14" t="str">
        <f>IF(A67="","",TRIM(Form_Raw_Data!E67))</f>
        <v/>
      </c>
      <c r="F67" s="12" t="str">
        <f>IF(A67="","",IF(Form_Raw_Data!F67="","",Form_Raw_Data!F67&amp;""))</f>
        <v/>
      </c>
      <c r="G67" s="14" t="str">
        <f>IF(A67="","",IF(ISNUMBER(Form_Raw_Data!F67),IF(AND(Form_Raw_Data!F67&gt;=0,Form_Raw_Data!F67&lt;=24),Form_Raw_Data!F67,""),""))</f>
        <v/>
      </c>
      <c r="H67" s="14" t="str">
        <f>IF(A67="","",TRIM(Form_Raw_Data!G67))</f>
        <v/>
      </c>
      <c r="I67" s="15" t="str">
        <f t="shared" si="0"/>
        <v/>
      </c>
      <c r="J67" s="15" t="str">
        <f>IF(A67="","",IF(COUNTIF(Lists!$A$4:$A$53,C67)&gt;0,"YES","NO"))</f>
        <v/>
      </c>
      <c r="K67" s="15" t="str">
        <f>IF(A67="","",IF(COUNTIF(Lists!$I$4:$I$53,D67)&gt;0,"YES","NO"))</f>
        <v/>
      </c>
    </row>
    <row r="68" spans="1:11" x14ac:dyDescent="0.35">
      <c r="A68" s="12" t="str">
        <f>IF(Form_Raw_Data!A68="","",Form_Raw_Data!A68)</f>
        <v/>
      </c>
      <c r="B68" s="13" t="str">
        <f>IF(A68="","",Form_Raw_Data!B68)</f>
        <v/>
      </c>
      <c r="C68" s="14" t="str">
        <f>IF(A68="","",UPPER(TRIM(Form_Raw_Data!C68)))</f>
        <v/>
      </c>
      <c r="D68" s="14" t="str">
        <f>IF(A68="","",UPPER(TRIM(Form_Raw_Data!D68)))</f>
        <v/>
      </c>
      <c r="E68" s="14" t="str">
        <f>IF(A68="","",TRIM(Form_Raw_Data!E68))</f>
        <v/>
      </c>
      <c r="F68" s="12" t="str">
        <f>IF(A68="","",IF(Form_Raw_Data!F68="","",Form_Raw_Data!F68&amp;""))</f>
        <v/>
      </c>
      <c r="G68" s="14" t="str">
        <f>IF(A68="","",IF(ISNUMBER(Form_Raw_Data!F68),IF(AND(Form_Raw_Data!F68&gt;=0,Form_Raw_Data!F68&lt;=24),Form_Raw_Data!F68,""),""))</f>
        <v/>
      </c>
      <c r="H68" s="14" t="str">
        <f>IF(A68="","",TRIM(Form_Raw_Data!G68))</f>
        <v/>
      </c>
      <c r="I68" s="15" t="str">
        <f t="shared" ref="I68:I131" si="1">IF(A68="","",IF(OR(C68="",D68="",E68="",H68="",G68=""),"ERROR","OK"))</f>
        <v/>
      </c>
      <c r="J68" s="15" t="str">
        <f>IF(A68="","",IF(COUNTIF(Lists!$A$4:$A$53,C68)&gt;0,"YES","NO"))</f>
        <v/>
      </c>
      <c r="K68" s="15" t="str">
        <f>IF(A68="","",IF(COUNTIF(Lists!$I$4:$I$53,D68)&gt;0,"YES","NO"))</f>
        <v/>
      </c>
    </row>
    <row r="69" spans="1:11" x14ac:dyDescent="0.35">
      <c r="A69" s="12" t="str">
        <f>IF(Form_Raw_Data!A69="","",Form_Raw_Data!A69)</f>
        <v/>
      </c>
      <c r="B69" s="13" t="str">
        <f>IF(A69="","",Form_Raw_Data!B69)</f>
        <v/>
      </c>
      <c r="C69" s="14" t="str">
        <f>IF(A69="","",UPPER(TRIM(Form_Raw_Data!C69)))</f>
        <v/>
      </c>
      <c r="D69" s="14" t="str">
        <f>IF(A69="","",UPPER(TRIM(Form_Raw_Data!D69)))</f>
        <v/>
      </c>
      <c r="E69" s="14" t="str">
        <f>IF(A69="","",TRIM(Form_Raw_Data!E69))</f>
        <v/>
      </c>
      <c r="F69" s="12" t="str">
        <f>IF(A69="","",IF(Form_Raw_Data!F69="","",Form_Raw_Data!F69&amp;""))</f>
        <v/>
      </c>
      <c r="G69" s="14" t="str">
        <f>IF(A69="","",IF(ISNUMBER(Form_Raw_Data!F69),IF(AND(Form_Raw_Data!F69&gt;=0,Form_Raw_Data!F69&lt;=24),Form_Raw_Data!F69,""),""))</f>
        <v/>
      </c>
      <c r="H69" s="14" t="str">
        <f>IF(A69="","",TRIM(Form_Raw_Data!G69))</f>
        <v/>
      </c>
      <c r="I69" s="15" t="str">
        <f t="shared" si="1"/>
        <v/>
      </c>
      <c r="J69" s="15" t="str">
        <f>IF(A69="","",IF(COUNTIF(Lists!$A$4:$A$53,C69)&gt;0,"YES","NO"))</f>
        <v/>
      </c>
      <c r="K69" s="15" t="str">
        <f>IF(A69="","",IF(COUNTIF(Lists!$I$4:$I$53,D69)&gt;0,"YES","NO"))</f>
        <v/>
      </c>
    </row>
    <row r="70" spans="1:11" x14ac:dyDescent="0.35">
      <c r="A70" s="12" t="str">
        <f>IF(Form_Raw_Data!A70="","",Form_Raw_Data!A70)</f>
        <v/>
      </c>
      <c r="B70" s="13" t="str">
        <f>IF(A70="","",Form_Raw_Data!B70)</f>
        <v/>
      </c>
      <c r="C70" s="14" t="str">
        <f>IF(A70="","",UPPER(TRIM(Form_Raw_Data!C70)))</f>
        <v/>
      </c>
      <c r="D70" s="14" t="str">
        <f>IF(A70="","",UPPER(TRIM(Form_Raw_Data!D70)))</f>
        <v/>
      </c>
      <c r="E70" s="14" t="str">
        <f>IF(A70="","",TRIM(Form_Raw_Data!E70))</f>
        <v/>
      </c>
      <c r="F70" s="12" t="str">
        <f>IF(A70="","",IF(Form_Raw_Data!F70="","",Form_Raw_Data!F70&amp;""))</f>
        <v/>
      </c>
      <c r="G70" s="14" t="str">
        <f>IF(A70="","",IF(ISNUMBER(Form_Raw_Data!F70),IF(AND(Form_Raw_Data!F70&gt;=0,Form_Raw_Data!F70&lt;=24),Form_Raw_Data!F70,""),""))</f>
        <v/>
      </c>
      <c r="H70" s="14" t="str">
        <f>IF(A70="","",TRIM(Form_Raw_Data!G70))</f>
        <v/>
      </c>
      <c r="I70" s="15" t="str">
        <f t="shared" si="1"/>
        <v/>
      </c>
      <c r="J70" s="15" t="str">
        <f>IF(A70="","",IF(COUNTIF(Lists!$A$4:$A$53,C70)&gt;0,"YES","NO"))</f>
        <v/>
      </c>
      <c r="K70" s="15" t="str">
        <f>IF(A70="","",IF(COUNTIF(Lists!$I$4:$I$53,D70)&gt;0,"YES","NO"))</f>
        <v/>
      </c>
    </row>
    <row r="71" spans="1:11" x14ac:dyDescent="0.35">
      <c r="A71" s="12" t="str">
        <f>IF(Form_Raw_Data!A71="","",Form_Raw_Data!A71)</f>
        <v/>
      </c>
      <c r="B71" s="13" t="str">
        <f>IF(A71="","",Form_Raw_Data!B71)</f>
        <v/>
      </c>
      <c r="C71" s="14" t="str">
        <f>IF(A71="","",UPPER(TRIM(Form_Raw_Data!C71)))</f>
        <v/>
      </c>
      <c r="D71" s="14" t="str">
        <f>IF(A71="","",UPPER(TRIM(Form_Raw_Data!D71)))</f>
        <v/>
      </c>
      <c r="E71" s="14" t="str">
        <f>IF(A71="","",TRIM(Form_Raw_Data!E71))</f>
        <v/>
      </c>
      <c r="F71" s="12" t="str">
        <f>IF(A71="","",IF(Form_Raw_Data!F71="","",Form_Raw_Data!F71&amp;""))</f>
        <v/>
      </c>
      <c r="G71" s="14" t="str">
        <f>IF(A71="","",IF(ISNUMBER(Form_Raw_Data!F71),IF(AND(Form_Raw_Data!F71&gt;=0,Form_Raw_Data!F71&lt;=24),Form_Raw_Data!F71,""),""))</f>
        <v/>
      </c>
      <c r="H71" s="14" t="str">
        <f>IF(A71="","",TRIM(Form_Raw_Data!G71))</f>
        <v/>
      </c>
      <c r="I71" s="15" t="str">
        <f t="shared" si="1"/>
        <v/>
      </c>
      <c r="J71" s="15" t="str">
        <f>IF(A71="","",IF(COUNTIF(Lists!$A$4:$A$53,C71)&gt;0,"YES","NO"))</f>
        <v/>
      </c>
      <c r="K71" s="15" t="str">
        <f>IF(A71="","",IF(COUNTIF(Lists!$I$4:$I$53,D71)&gt;0,"YES","NO"))</f>
        <v/>
      </c>
    </row>
    <row r="72" spans="1:11" x14ac:dyDescent="0.35">
      <c r="A72" s="12" t="str">
        <f>IF(Form_Raw_Data!A72="","",Form_Raw_Data!A72)</f>
        <v/>
      </c>
      <c r="B72" s="13" t="str">
        <f>IF(A72="","",Form_Raw_Data!B72)</f>
        <v/>
      </c>
      <c r="C72" s="14" t="str">
        <f>IF(A72="","",UPPER(TRIM(Form_Raw_Data!C72)))</f>
        <v/>
      </c>
      <c r="D72" s="14" t="str">
        <f>IF(A72="","",UPPER(TRIM(Form_Raw_Data!D72)))</f>
        <v/>
      </c>
      <c r="E72" s="14" t="str">
        <f>IF(A72="","",TRIM(Form_Raw_Data!E72))</f>
        <v/>
      </c>
      <c r="F72" s="12" t="str">
        <f>IF(A72="","",IF(Form_Raw_Data!F72="","",Form_Raw_Data!F72&amp;""))</f>
        <v/>
      </c>
      <c r="G72" s="14" t="str">
        <f>IF(A72="","",IF(ISNUMBER(Form_Raw_Data!F72),IF(AND(Form_Raw_Data!F72&gt;=0,Form_Raw_Data!F72&lt;=24),Form_Raw_Data!F72,""),""))</f>
        <v/>
      </c>
      <c r="H72" s="14" t="str">
        <f>IF(A72="","",TRIM(Form_Raw_Data!G72))</f>
        <v/>
      </c>
      <c r="I72" s="15" t="str">
        <f t="shared" si="1"/>
        <v/>
      </c>
      <c r="J72" s="15" t="str">
        <f>IF(A72="","",IF(COUNTIF(Lists!$A$4:$A$53,C72)&gt;0,"YES","NO"))</f>
        <v/>
      </c>
      <c r="K72" s="15" t="str">
        <f>IF(A72="","",IF(COUNTIF(Lists!$I$4:$I$53,D72)&gt;0,"YES","NO"))</f>
        <v/>
      </c>
    </row>
    <row r="73" spans="1:11" x14ac:dyDescent="0.35">
      <c r="A73" s="12" t="str">
        <f>IF(Form_Raw_Data!A73="","",Form_Raw_Data!A73)</f>
        <v/>
      </c>
      <c r="B73" s="13" t="str">
        <f>IF(A73="","",Form_Raw_Data!B73)</f>
        <v/>
      </c>
      <c r="C73" s="14" t="str">
        <f>IF(A73="","",UPPER(TRIM(Form_Raw_Data!C73)))</f>
        <v/>
      </c>
      <c r="D73" s="14" t="str">
        <f>IF(A73="","",UPPER(TRIM(Form_Raw_Data!D73)))</f>
        <v/>
      </c>
      <c r="E73" s="14" t="str">
        <f>IF(A73="","",TRIM(Form_Raw_Data!E73))</f>
        <v/>
      </c>
      <c r="F73" s="12" t="str">
        <f>IF(A73="","",IF(Form_Raw_Data!F73="","",Form_Raw_Data!F73&amp;""))</f>
        <v/>
      </c>
      <c r="G73" s="14" t="str">
        <f>IF(A73="","",IF(ISNUMBER(Form_Raw_Data!F73),IF(AND(Form_Raw_Data!F73&gt;=0,Form_Raw_Data!F73&lt;=24),Form_Raw_Data!F73,""),""))</f>
        <v/>
      </c>
      <c r="H73" s="14" t="str">
        <f>IF(A73="","",TRIM(Form_Raw_Data!G73))</f>
        <v/>
      </c>
      <c r="I73" s="15" t="str">
        <f t="shared" si="1"/>
        <v/>
      </c>
      <c r="J73" s="15" t="str">
        <f>IF(A73="","",IF(COUNTIF(Lists!$A$4:$A$53,C73)&gt;0,"YES","NO"))</f>
        <v/>
      </c>
      <c r="K73" s="15" t="str">
        <f>IF(A73="","",IF(COUNTIF(Lists!$I$4:$I$53,D73)&gt;0,"YES","NO"))</f>
        <v/>
      </c>
    </row>
    <row r="74" spans="1:11" x14ac:dyDescent="0.35">
      <c r="A74" s="12" t="str">
        <f>IF(Form_Raw_Data!A74="","",Form_Raw_Data!A74)</f>
        <v/>
      </c>
      <c r="B74" s="13" t="str">
        <f>IF(A74="","",Form_Raw_Data!B74)</f>
        <v/>
      </c>
      <c r="C74" s="14" t="str">
        <f>IF(A74="","",UPPER(TRIM(Form_Raw_Data!C74)))</f>
        <v/>
      </c>
      <c r="D74" s="14" t="str">
        <f>IF(A74="","",UPPER(TRIM(Form_Raw_Data!D74)))</f>
        <v/>
      </c>
      <c r="E74" s="14" t="str">
        <f>IF(A74="","",TRIM(Form_Raw_Data!E74))</f>
        <v/>
      </c>
      <c r="F74" s="12" t="str">
        <f>IF(A74="","",IF(Form_Raw_Data!F74="","",Form_Raw_Data!F74&amp;""))</f>
        <v/>
      </c>
      <c r="G74" s="14" t="str">
        <f>IF(A74="","",IF(ISNUMBER(Form_Raw_Data!F74),IF(AND(Form_Raw_Data!F74&gt;=0,Form_Raw_Data!F74&lt;=24),Form_Raw_Data!F74,""),""))</f>
        <v/>
      </c>
      <c r="H74" s="14" t="str">
        <f>IF(A74="","",TRIM(Form_Raw_Data!G74))</f>
        <v/>
      </c>
      <c r="I74" s="15" t="str">
        <f t="shared" si="1"/>
        <v/>
      </c>
      <c r="J74" s="15" t="str">
        <f>IF(A74="","",IF(COUNTIF(Lists!$A$4:$A$53,C74)&gt;0,"YES","NO"))</f>
        <v/>
      </c>
      <c r="K74" s="15" t="str">
        <f>IF(A74="","",IF(COUNTIF(Lists!$I$4:$I$53,D74)&gt;0,"YES","NO"))</f>
        <v/>
      </c>
    </row>
    <row r="75" spans="1:11" x14ac:dyDescent="0.35">
      <c r="A75" s="12" t="str">
        <f>IF(Form_Raw_Data!A75="","",Form_Raw_Data!A75)</f>
        <v/>
      </c>
      <c r="B75" s="13" t="str">
        <f>IF(A75="","",Form_Raw_Data!B75)</f>
        <v/>
      </c>
      <c r="C75" s="14" t="str">
        <f>IF(A75="","",UPPER(TRIM(Form_Raw_Data!C75)))</f>
        <v/>
      </c>
      <c r="D75" s="14" t="str">
        <f>IF(A75="","",UPPER(TRIM(Form_Raw_Data!D75)))</f>
        <v/>
      </c>
      <c r="E75" s="14" t="str">
        <f>IF(A75="","",TRIM(Form_Raw_Data!E75))</f>
        <v/>
      </c>
      <c r="F75" s="12" t="str">
        <f>IF(A75="","",IF(Form_Raw_Data!F75="","",Form_Raw_Data!F75&amp;""))</f>
        <v/>
      </c>
      <c r="G75" s="14" t="str">
        <f>IF(A75="","",IF(ISNUMBER(Form_Raw_Data!F75),IF(AND(Form_Raw_Data!F75&gt;=0,Form_Raw_Data!F75&lt;=24),Form_Raw_Data!F75,""),""))</f>
        <v/>
      </c>
      <c r="H75" s="14" t="str">
        <f>IF(A75="","",TRIM(Form_Raw_Data!G75))</f>
        <v/>
      </c>
      <c r="I75" s="15" t="str">
        <f t="shared" si="1"/>
        <v/>
      </c>
      <c r="J75" s="15" t="str">
        <f>IF(A75="","",IF(COUNTIF(Lists!$A$4:$A$53,C75)&gt;0,"YES","NO"))</f>
        <v/>
      </c>
      <c r="K75" s="15" t="str">
        <f>IF(A75="","",IF(COUNTIF(Lists!$I$4:$I$53,D75)&gt;0,"YES","NO"))</f>
        <v/>
      </c>
    </row>
    <row r="76" spans="1:11" x14ac:dyDescent="0.35">
      <c r="A76" s="12" t="str">
        <f>IF(Form_Raw_Data!A76="","",Form_Raw_Data!A76)</f>
        <v/>
      </c>
      <c r="B76" s="13" t="str">
        <f>IF(A76="","",Form_Raw_Data!B76)</f>
        <v/>
      </c>
      <c r="C76" s="14" t="str">
        <f>IF(A76="","",UPPER(TRIM(Form_Raw_Data!C76)))</f>
        <v/>
      </c>
      <c r="D76" s="14" t="str">
        <f>IF(A76="","",UPPER(TRIM(Form_Raw_Data!D76)))</f>
        <v/>
      </c>
      <c r="E76" s="14" t="str">
        <f>IF(A76="","",TRIM(Form_Raw_Data!E76))</f>
        <v/>
      </c>
      <c r="F76" s="12" t="str">
        <f>IF(A76="","",IF(Form_Raw_Data!F76="","",Form_Raw_Data!F76&amp;""))</f>
        <v/>
      </c>
      <c r="G76" s="14" t="str">
        <f>IF(A76="","",IF(ISNUMBER(Form_Raw_Data!F76),IF(AND(Form_Raw_Data!F76&gt;=0,Form_Raw_Data!F76&lt;=24),Form_Raw_Data!F76,""),""))</f>
        <v/>
      </c>
      <c r="H76" s="14" t="str">
        <f>IF(A76="","",TRIM(Form_Raw_Data!G76))</f>
        <v/>
      </c>
      <c r="I76" s="15" t="str">
        <f t="shared" si="1"/>
        <v/>
      </c>
      <c r="J76" s="15" t="str">
        <f>IF(A76="","",IF(COUNTIF(Lists!$A$4:$A$53,C76)&gt;0,"YES","NO"))</f>
        <v/>
      </c>
      <c r="K76" s="15" t="str">
        <f>IF(A76="","",IF(COUNTIF(Lists!$I$4:$I$53,D76)&gt;0,"YES","NO"))</f>
        <v/>
      </c>
    </row>
    <row r="77" spans="1:11" x14ac:dyDescent="0.35">
      <c r="A77" s="12" t="str">
        <f>IF(Form_Raw_Data!A77="","",Form_Raw_Data!A77)</f>
        <v/>
      </c>
      <c r="B77" s="13" t="str">
        <f>IF(A77="","",Form_Raw_Data!B77)</f>
        <v/>
      </c>
      <c r="C77" s="14" t="str">
        <f>IF(A77="","",UPPER(TRIM(Form_Raw_Data!C77)))</f>
        <v/>
      </c>
      <c r="D77" s="14" t="str">
        <f>IF(A77="","",UPPER(TRIM(Form_Raw_Data!D77)))</f>
        <v/>
      </c>
      <c r="E77" s="14" t="str">
        <f>IF(A77="","",TRIM(Form_Raw_Data!E77))</f>
        <v/>
      </c>
      <c r="F77" s="12" t="str">
        <f>IF(A77="","",IF(Form_Raw_Data!F77="","",Form_Raw_Data!F77&amp;""))</f>
        <v/>
      </c>
      <c r="G77" s="14" t="str">
        <f>IF(A77="","",IF(ISNUMBER(Form_Raw_Data!F77),IF(AND(Form_Raw_Data!F77&gt;=0,Form_Raw_Data!F77&lt;=24),Form_Raw_Data!F77,""),""))</f>
        <v/>
      </c>
      <c r="H77" s="14" t="str">
        <f>IF(A77="","",TRIM(Form_Raw_Data!G77))</f>
        <v/>
      </c>
      <c r="I77" s="15" t="str">
        <f t="shared" si="1"/>
        <v/>
      </c>
      <c r="J77" s="15" t="str">
        <f>IF(A77="","",IF(COUNTIF(Lists!$A$4:$A$53,C77)&gt;0,"YES","NO"))</f>
        <v/>
      </c>
      <c r="K77" s="15" t="str">
        <f>IF(A77="","",IF(COUNTIF(Lists!$I$4:$I$53,D77)&gt;0,"YES","NO"))</f>
        <v/>
      </c>
    </row>
    <row r="78" spans="1:11" x14ac:dyDescent="0.35">
      <c r="A78" s="12" t="str">
        <f>IF(Form_Raw_Data!A78="","",Form_Raw_Data!A78)</f>
        <v/>
      </c>
      <c r="B78" s="13" t="str">
        <f>IF(A78="","",Form_Raw_Data!B78)</f>
        <v/>
      </c>
      <c r="C78" s="14" t="str">
        <f>IF(A78="","",UPPER(TRIM(Form_Raw_Data!C78)))</f>
        <v/>
      </c>
      <c r="D78" s="14" t="str">
        <f>IF(A78="","",UPPER(TRIM(Form_Raw_Data!D78)))</f>
        <v/>
      </c>
      <c r="E78" s="14" t="str">
        <f>IF(A78="","",TRIM(Form_Raw_Data!E78))</f>
        <v/>
      </c>
      <c r="F78" s="12" t="str">
        <f>IF(A78="","",IF(Form_Raw_Data!F78="","",Form_Raw_Data!F78&amp;""))</f>
        <v/>
      </c>
      <c r="G78" s="14" t="str">
        <f>IF(A78="","",IF(ISNUMBER(Form_Raw_Data!F78),IF(AND(Form_Raw_Data!F78&gt;=0,Form_Raw_Data!F78&lt;=24),Form_Raw_Data!F78,""),""))</f>
        <v/>
      </c>
      <c r="H78" s="14" t="str">
        <f>IF(A78="","",TRIM(Form_Raw_Data!G78))</f>
        <v/>
      </c>
      <c r="I78" s="15" t="str">
        <f t="shared" si="1"/>
        <v/>
      </c>
      <c r="J78" s="15" t="str">
        <f>IF(A78="","",IF(COUNTIF(Lists!$A$4:$A$53,C78)&gt;0,"YES","NO"))</f>
        <v/>
      </c>
      <c r="K78" s="15" t="str">
        <f>IF(A78="","",IF(COUNTIF(Lists!$I$4:$I$53,D78)&gt;0,"YES","NO"))</f>
        <v/>
      </c>
    </row>
    <row r="79" spans="1:11" x14ac:dyDescent="0.35">
      <c r="A79" s="12" t="str">
        <f>IF(Form_Raw_Data!A79="","",Form_Raw_Data!A79)</f>
        <v/>
      </c>
      <c r="B79" s="13" t="str">
        <f>IF(A79="","",Form_Raw_Data!B79)</f>
        <v/>
      </c>
      <c r="C79" s="14" t="str">
        <f>IF(A79="","",UPPER(TRIM(Form_Raw_Data!C79)))</f>
        <v/>
      </c>
      <c r="D79" s="14" t="str">
        <f>IF(A79="","",UPPER(TRIM(Form_Raw_Data!D79)))</f>
        <v/>
      </c>
      <c r="E79" s="14" t="str">
        <f>IF(A79="","",TRIM(Form_Raw_Data!E79))</f>
        <v/>
      </c>
      <c r="F79" s="12" t="str">
        <f>IF(A79="","",IF(Form_Raw_Data!F79="","",Form_Raw_Data!F79&amp;""))</f>
        <v/>
      </c>
      <c r="G79" s="14" t="str">
        <f>IF(A79="","",IF(ISNUMBER(Form_Raw_Data!F79),IF(AND(Form_Raw_Data!F79&gt;=0,Form_Raw_Data!F79&lt;=24),Form_Raw_Data!F79,""),""))</f>
        <v/>
      </c>
      <c r="H79" s="14" t="str">
        <f>IF(A79="","",TRIM(Form_Raw_Data!G79))</f>
        <v/>
      </c>
      <c r="I79" s="15" t="str">
        <f t="shared" si="1"/>
        <v/>
      </c>
      <c r="J79" s="15" t="str">
        <f>IF(A79="","",IF(COUNTIF(Lists!$A$4:$A$53,C79)&gt;0,"YES","NO"))</f>
        <v/>
      </c>
      <c r="K79" s="15" t="str">
        <f>IF(A79="","",IF(COUNTIF(Lists!$I$4:$I$53,D79)&gt;0,"YES","NO"))</f>
        <v/>
      </c>
    </row>
    <row r="80" spans="1:11" x14ac:dyDescent="0.35">
      <c r="A80" s="12" t="str">
        <f>IF(Form_Raw_Data!A80="","",Form_Raw_Data!A80)</f>
        <v/>
      </c>
      <c r="B80" s="13" t="str">
        <f>IF(A80="","",Form_Raw_Data!B80)</f>
        <v/>
      </c>
      <c r="C80" s="14" t="str">
        <f>IF(A80="","",UPPER(TRIM(Form_Raw_Data!C80)))</f>
        <v/>
      </c>
      <c r="D80" s="14" t="str">
        <f>IF(A80="","",UPPER(TRIM(Form_Raw_Data!D80)))</f>
        <v/>
      </c>
      <c r="E80" s="14" t="str">
        <f>IF(A80="","",TRIM(Form_Raw_Data!E80))</f>
        <v/>
      </c>
      <c r="F80" s="12" t="str">
        <f>IF(A80="","",IF(Form_Raw_Data!F80="","",Form_Raw_Data!F80&amp;""))</f>
        <v/>
      </c>
      <c r="G80" s="14" t="str">
        <f>IF(A80="","",IF(ISNUMBER(Form_Raw_Data!F80),IF(AND(Form_Raw_Data!F80&gt;=0,Form_Raw_Data!F80&lt;=24),Form_Raw_Data!F80,""),""))</f>
        <v/>
      </c>
      <c r="H80" s="14" t="str">
        <f>IF(A80="","",TRIM(Form_Raw_Data!G80))</f>
        <v/>
      </c>
      <c r="I80" s="15" t="str">
        <f t="shared" si="1"/>
        <v/>
      </c>
      <c r="J80" s="15" t="str">
        <f>IF(A80="","",IF(COUNTIF(Lists!$A$4:$A$53,C80)&gt;0,"YES","NO"))</f>
        <v/>
      </c>
      <c r="K80" s="15" t="str">
        <f>IF(A80="","",IF(COUNTIF(Lists!$I$4:$I$53,D80)&gt;0,"YES","NO"))</f>
        <v/>
      </c>
    </row>
    <row r="81" spans="1:11" x14ac:dyDescent="0.35">
      <c r="A81" s="12" t="str">
        <f>IF(Form_Raw_Data!A81="","",Form_Raw_Data!A81)</f>
        <v/>
      </c>
      <c r="B81" s="13" t="str">
        <f>IF(A81="","",Form_Raw_Data!B81)</f>
        <v/>
      </c>
      <c r="C81" s="14" t="str">
        <f>IF(A81="","",UPPER(TRIM(Form_Raw_Data!C81)))</f>
        <v/>
      </c>
      <c r="D81" s="14" t="str">
        <f>IF(A81="","",UPPER(TRIM(Form_Raw_Data!D81)))</f>
        <v/>
      </c>
      <c r="E81" s="14" t="str">
        <f>IF(A81="","",TRIM(Form_Raw_Data!E81))</f>
        <v/>
      </c>
      <c r="F81" s="12" t="str">
        <f>IF(A81="","",IF(Form_Raw_Data!F81="","",Form_Raw_Data!F81&amp;""))</f>
        <v/>
      </c>
      <c r="G81" s="14" t="str">
        <f>IF(A81="","",IF(ISNUMBER(Form_Raw_Data!F81),IF(AND(Form_Raw_Data!F81&gt;=0,Form_Raw_Data!F81&lt;=24),Form_Raw_Data!F81,""),""))</f>
        <v/>
      </c>
      <c r="H81" s="14" t="str">
        <f>IF(A81="","",TRIM(Form_Raw_Data!G81))</f>
        <v/>
      </c>
      <c r="I81" s="15" t="str">
        <f t="shared" si="1"/>
        <v/>
      </c>
      <c r="J81" s="15" t="str">
        <f>IF(A81="","",IF(COUNTIF(Lists!$A$4:$A$53,C81)&gt;0,"YES","NO"))</f>
        <v/>
      </c>
      <c r="K81" s="15" t="str">
        <f>IF(A81="","",IF(COUNTIF(Lists!$I$4:$I$53,D81)&gt;0,"YES","NO"))</f>
        <v/>
      </c>
    </row>
    <row r="82" spans="1:11" x14ac:dyDescent="0.35">
      <c r="A82" s="12" t="str">
        <f>IF(Form_Raw_Data!A82="","",Form_Raw_Data!A82)</f>
        <v/>
      </c>
      <c r="B82" s="13" t="str">
        <f>IF(A82="","",Form_Raw_Data!B82)</f>
        <v/>
      </c>
      <c r="C82" s="14" t="str">
        <f>IF(A82="","",UPPER(TRIM(Form_Raw_Data!C82)))</f>
        <v/>
      </c>
      <c r="D82" s="14" t="str">
        <f>IF(A82="","",UPPER(TRIM(Form_Raw_Data!D82)))</f>
        <v/>
      </c>
      <c r="E82" s="14" t="str">
        <f>IF(A82="","",TRIM(Form_Raw_Data!E82))</f>
        <v/>
      </c>
      <c r="F82" s="12" t="str">
        <f>IF(A82="","",IF(Form_Raw_Data!F82="","",Form_Raw_Data!F82&amp;""))</f>
        <v/>
      </c>
      <c r="G82" s="14" t="str">
        <f>IF(A82="","",IF(ISNUMBER(Form_Raw_Data!F82),IF(AND(Form_Raw_Data!F82&gt;=0,Form_Raw_Data!F82&lt;=24),Form_Raw_Data!F82,""),""))</f>
        <v/>
      </c>
      <c r="H82" s="14" t="str">
        <f>IF(A82="","",TRIM(Form_Raw_Data!G82))</f>
        <v/>
      </c>
      <c r="I82" s="15" t="str">
        <f t="shared" si="1"/>
        <v/>
      </c>
      <c r="J82" s="15" t="str">
        <f>IF(A82="","",IF(COUNTIF(Lists!$A$4:$A$53,C82)&gt;0,"YES","NO"))</f>
        <v/>
      </c>
      <c r="K82" s="15" t="str">
        <f>IF(A82="","",IF(COUNTIF(Lists!$I$4:$I$53,D82)&gt;0,"YES","NO"))</f>
        <v/>
      </c>
    </row>
    <row r="83" spans="1:11" x14ac:dyDescent="0.35">
      <c r="A83" s="12" t="str">
        <f>IF(Form_Raw_Data!A83="","",Form_Raw_Data!A83)</f>
        <v/>
      </c>
      <c r="B83" s="13" t="str">
        <f>IF(A83="","",Form_Raw_Data!B83)</f>
        <v/>
      </c>
      <c r="C83" s="14" t="str">
        <f>IF(A83="","",UPPER(TRIM(Form_Raw_Data!C83)))</f>
        <v/>
      </c>
      <c r="D83" s="14" t="str">
        <f>IF(A83="","",UPPER(TRIM(Form_Raw_Data!D83)))</f>
        <v/>
      </c>
      <c r="E83" s="14" t="str">
        <f>IF(A83="","",TRIM(Form_Raw_Data!E83))</f>
        <v/>
      </c>
      <c r="F83" s="12" t="str">
        <f>IF(A83="","",IF(Form_Raw_Data!F83="","",Form_Raw_Data!F83&amp;""))</f>
        <v/>
      </c>
      <c r="G83" s="14" t="str">
        <f>IF(A83="","",IF(ISNUMBER(Form_Raw_Data!F83),IF(AND(Form_Raw_Data!F83&gt;=0,Form_Raw_Data!F83&lt;=24),Form_Raw_Data!F83,""),""))</f>
        <v/>
      </c>
      <c r="H83" s="14" t="str">
        <f>IF(A83="","",TRIM(Form_Raw_Data!G83))</f>
        <v/>
      </c>
      <c r="I83" s="15" t="str">
        <f t="shared" si="1"/>
        <v/>
      </c>
      <c r="J83" s="15" t="str">
        <f>IF(A83="","",IF(COUNTIF(Lists!$A$4:$A$53,C83)&gt;0,"YES","NO"))</f>
        <v/>
      </c>
      <c r="K83" s="15" t="str">
        <f>IF(A83="","",IF(COUNTIF(Lists!$I$4:$I$53,D83)&gt;0,"YES","NO"))</f>
        <v/>
      </c>
    </row>
    <row r="84" spans="1:11" x14ac:dyDescent="0.35">
      <c r="A84" s="12" t="str">
        <f>IF(Form_Raw_Data!A84="","",Form_Raw_Data!A84)</f>
        <v/>
      </c>
      <c r="B84" s="13" t="str">
        <f>IF(A84="","",Form_Raw_Data!B84)</f>
        <v/>
      </c>
      <c r="C84" s="14" t="str">
        <f>IF(A84="","",UPPER(TRIM(Form_Raw_Data!C84)))</f>
        <v/>
      </c>
      <c r="D84" s="14" t="str">
        <f>IF(A84="","",UPPER(TRIM(Form_Raw_Data!D84)))</f>
        <v/>
      </c>
      <c r="E84" s="14" t="str">
        <f>IF(A84="","",TRIM(Form_Raw_Data!E84))</f>
        <v/>
      </c>
      <c r="F84" s="12" t="str">
        <f>IF(A84="","",IF(Form_Raw_Data!F84="","",Form_Raw_Data!F84&amp;""))</f>
        <v/>
      </c>
      <c r="G84" s="14" t="str">
        <f>IF(A84="","",IF(ISNUMBER(Form_Raw_Data!F84),IF(AND(Form_Raw_Data!F84&gt;=0,Form_Raw_Data!F84&lt;=24),Form_Raw_Data!F84,""),""))</f>
        <v/>
      </c>
      <c r="H84" s="14" t="str">
        <f>IF(A84="","",TRIM(Form_Raw_Data!G84))</f>
        <v/>
      </c>
      <c r="I84" s="15" t="str">
        <f t="shared" si="1"/>
        <v/>
      </c>
      <c r="J84" s="15" t="str">
        <f>IF(A84="","",IF(COUNTIF(Lists!$A$4:$A$53,C84)&gt;0,"YES","NO"))</f>
        <v/>
      </c>
      <c r="K84" s="15" t="str">
        <f>IF(A84="","",IF(COUNTIF(Lists!$I$4:$I$53,D84)&gt;0,"YES","NO"))</f>
        <v/>
      </c>
    </row>
    <row r="85" spans="1:11" x14ac:dyDescent="0.35">
      <c r="A85" s="12" t="str">
        <f>IF(Form_Raw_Data!A85="","",Form_Raw_Data!A85)</f>
        <v/>
      </c>
      <c r="B85" s="13" t="str">
        <f>IF(A85="","",Form_Raw_Data!B85)</f>
        <v/>
      </c>
      <c r="C85" s="14" t="str">
        <f>IF(A85="","",UPPER(TRIM(Form_Raw_Data!C85)))</f>
        <v/>
      </c>
      <c r="D85" s="14" t="str">
        <f>IF(A85="","",UPPER(TRIM(Form_Raw_Data!D85)))</f>
        <v/>
      </c>
      <c r="E85" s="14" t="str">
        <f>IF(A85="","",TRIM(Form_Raw_Data!E85))</f>
        <v/>
      </c>
      <c r="F85" s="12" t="str">
        <f>IF(A85="","",IF(Form_Raw_Data!F85="","",Form_Raw_Data!F85&amp;""))</f>
        <v/>
      </c>
      <c r="G85" s="14" t="str">
        <f>IF(A85="","",IF(ISNUMBER(Form_Raw_Data!F85),IF(AND(Form_Raw_Data!F85&gt;=0,Form_Raw_Data!F85&lt;=24),Form_Raw_Data!F85,""),""))</f>
        <v/>
      </c>
      <c r="H85" s="14" t="str">
        <f>IF(A85="","",TRIM(Form_Raw_Data!G85))</f>
        <v/>
      </c>
      <c r="I85" s="15" t="str">
        <f t="shared" si="1"/>
        <v/>
      </c>
      <c r="J85" s="15" t="str">
        <f>IF(A85="","",IF(COUNTIF(Lists!$A$4:$A$53,C85)&gt;0,"YES","NO"))</f>
        <v/>
      </c>
      <c r="K85" s="15" t="str">
        <f>IF(A85="","",IF(COUNTIF(Lists!$I$4:$I$53,D85)&gt;0,"YES","NO"))</f>
        <v/>
      </c>
    </row>
    <row r="86" spans="1:11" x14ac:dyDescent="0.35">
      <c r="A86" s="12" t="str">
        <f>IF(Form_Raw_Data!A86="","",Form_Raw_Data!A86)</f>
        <v/>
      </c>
      <c r="B86" s="13" t="str">
        <f>IF(A86="","",Form_Raw_Data!B86)</f>
        <v/>
      </c>
      <c r="C86" s="14" t="str">
        <f>IF(A86="","",UPPER(TRIM(Form_Raw_Data!C86)))</f>
        <v/>
      </c>
      <c r="D86" s="14" t="str">
        <f>IF(A86="","",UPPER(TRIM(Form_Raw_Data!D86)))</f>
        <v/>
      </c>
      <c r="E86" s="14" t="str">
        <f>IF(A86="","",TRIM(Form_Raw_Data!E86))</f>
        <v/>
      </c>
      <c r="F86" s="12" t="str">
        <f>IF(A86="","",IF(Form_Raw_Data!F86="","",Form_Raw_Data!F86&amp;""))</f>
        <v/>
      </c>
      <c r="G86" s="14" t="str">
        <f>IF(A86="","",IF(ISNUMBER(Form_Raw_Data!F86),IF(AND(Form_Raw_Data!F86&gt;=0,Form_Raw_Data!F86&lt;=24),Form_Raw_Data!F86,""),""))</f>
        <v/>
      </c>
      <c r="H86" s="14" t="str">
        <f>IF(A86="","",TRIM(Form_Raw_Data!G86))</f>
        <v/>
      </c>
      <c r="I86" s="15" t="str">
        <f t="shared" si="1"/>
        <v/>
      </c>
      <c r="J86" s="15" t="str">
        <f>IF(A86="","",IF(COUNTIF(Lists!$A$4:$A$53,C86)&gt;0,"YES","NO"))</f>
        <v/>
      </c>
      <c r="K86" s="15" t="str">
        <f>IF(A86="","",IF(COUNTIF(Lists!$I$4:$I$53,D86)&gt;0,"YES","NO"))</f>
        <v/>
      </c>
    </row>
    <row r="87" spans="1:11" x14ac:dyDescent="0.35">
      <c r="A87" s="12" t="str">
        <f>IF(Form_Raw_Data!A87="","",Form_Raw_Data!A87)</f>
        <v/>
      </c>
      <c r="B87" s="13" t="str">
        <f>IF(A87="","",Form_Raw_Data!B87)</f>
        <v/>
      </c>
      <c r="C87" s="14" t="str">
        <f>IF(A87="","",UPPER(TRIM(Form_Raw_Data!C87)))</f>
        <v/>
      </c>
      <c r="D87" s="14" t="str">
        <f>IF(A87="","",UPPER(TRIM(Form_Raw_Data!D87)))</f>
        <v/>
      </c>
      <c r="E87" s="14" t="str">
        <f>IF(A87="","",TRIM(Form_Raw_Data!E87))</f>
        <v/>
      </c>
      <c r="F87" s="12" t="str">
        <f>IF(A87="","",IF(Form_Raw_Data!F87="","",Form_Raw_Data!F87&amp;""))</f>
        <v/>
      </c>
      <c r="G87" s="14" t="str">
        <f>IF(A87="","",IF(ISNUMBER(Form_Raw_Data!F87),IF(AND(Form_Raw_Data!F87&gt;=0,Form_Raw_Data!F87&lt;=24),Form_Raw_Data!F87,""),""))</f>
        <v/>
      </c>
      <c r="H87" s="14" t="str">
        <f>IF(A87="","",TRIM(Form_Raw_Data!G87))</f>
        <v/>
      </c>
      <c r="I87" s="15" t="str">
        <f t="shared" si="1"/>
        <v/>
      </c>
      <c r="J87" s="15" t="str">
        <f>IF(A87="","",IF(COUNTIF(Lists!$A$4:$A$53,C87)&gt;0,"YES","NO"))</f>
        <v/>
      </c>
      <c r="K87" s="15" t="str">
        <f>IF(A87="","",IF(COUNTIF(Lists!$I$4:$I$53,D87)&gt;0,"YES","NO"))</f>
        <v/>
      </c>
    </row>
    <row r="88" spans="1:11" x14ac:dyDescent="0.35">
      <c r="A88" s="12" t="str">
        <f>IF(Form_Raw_Data!A88="","",Form_Raw_Data!A88)</f>
        <v/>
      </c>
      <c r="B88" s="13" t="str">
        <f>IF(A88="","",Form_Raw_Data!B88)</f>
        <v/>
      </c>
      <c r="C88" s="14" t="str">
        <f>IF(A88="","",UPPER(TRIM(Form_Raw_Data!C88)))</f>
        <v/>
      </c>
      <c r="D88" s="14" t="str">
        <f>IF(A88="","",UPPER(TRIM(Form_Raw_Data!D88)))</f>
        <v/>
      </c>
      <c r="E88" s="14" t="str">
        <f>IF(A88="","",TRIM(Form_Raw_Data!E88))</f>
        <v/>
      </c>
      <c r="F88" s="12" t="str">
        <f>IF(A88="","",IF(Form_Raw_Data!F88="","",Form_Raw_Data!F88&amp;""))</f>
        <v/>
      </c>
      <c r="G88" s="14" t="str">
        <f>IF(A88="","",IF(ISNUMBER(Form_Raw_Data!F88),IF(AND(Form_Raw_Data!F88&gt;=0,Form_Raw_Data!F88&lt;=24),Form_Raw_Data!F88,""),""))</f>
        <v/>
      </c>
      <c r="H88" s="14" t="str">
        <f>IF(A88="","",TRIM(Form_Raw_Data!G88))</f>
        <v/>
      </c>
      <c r="I88" s="15" t="str">
        <f t="shared" si="1"/>
        <v/>
      </c>
      <c r="J88" s="15" t="str">
        <f>IF(A88="","",IF(COUNTIF(Lists!$A$4:$A$53,C88)&gt;0,"YES","NO"))</f>
        <v/>
      </c>
      <c r="K88" s="15" t="str">
        <f>IF(A88="","",IF(COUNTIF(Lists!$I$4:$I$53,D88)&gt;0,"YES","NO"))</f>
        <v/>
      </c>
    </row>
    <row r="89" spans="1:11" x14ac:dyDescent="0.35">
      <c r="A89" s="12" t="str">
        <f>IF(Form_Raw_Data!A89="","",Form_Raw_Data!A89)</f>
        <v/>
      </c>
      <c r="B89" s="13" t="str">
        <f>IF(A89="","",Form_Raw_Data!B89)</f>
        <v/>
      </c>
      <c r="C89" s="14" t="str">
        <f>IF(A89="","",UPPER(TRIM(Form_Raw_Data!C89)))</f>
        <v/>
      </c>
      <c r="D89" s="14" t="str">
        <f>IF(A89="","",UPPER(TRIM(Form_Raw_Data!D89)))</f>
        <v/>
      </c>
      <c r="E89" s="14" t="str">
        <f>IF(A89="","",TRIM(Form_Raw_Data!E89))</f>
        <v/>
      </c>
      <c r="F89" s="12" t="str">
        <f>IF(A89="","",IF(Form_Raw_Data!F89="","",Form_Raw_Data!F89&amp;""))</f>
        <v/>
      </c>
      <c r="G89" s="14" t="str">
        <f>IF(A89="","",IF(ISNUMBER(Form_Raw_Data!F89),IF(AND(Form_Raw_Data!F89&gt;=0,Form_Raw_Data!F89&lt;=24),Form_Raw_Data!F89,""),""))</f>
        <v/>
      </c>
      <c r="H89" s="14" t="str">
        <f>IF(A89="","",TRIM(Form_Raw_Data!G89))</f>
        <v/>
      </c>
      <c r="I89" s="15" t="str">
        <f t="shared" si="1"/>
        <v/>
      </c>
      <c r="J89" s="15" t="str">
        <f>IF(A89="","",IF(COUNTIF(Lists!$A$4:$A$53,C89)&gt;0,"YES","NO"))</f>
        <v/>
      </c>
      <c r="K89" s="15" t="str">
        <f>IF(A89="","",IF(COUNTIF(Lists!$I$4:$I$53,D89)&gt;0,"YES","NO"))</f>
        <v/>
      </c>
    </row>
    <row r="90" spans="1:11" x14ac:dyDescent="0.35">
      <c r="A90" s="12" t="str">
        <f>IF(Form_Raw_Data!A90="","",Form_Raw_Data!A90)</f>
        <v/>
      </c>
      <c r="B90" s="13" t="str">
        <f>IF(A90="","",Form_Raw_Data!B90)</f>
        <v/>
      </c>
      <c r="C90" s="14" t="str">
        <f>IF(A90="","",UPPER(TRIM(Form_Raw_Data!C90)))</f>
        <v/>
      </c>
      <c r="D90" s="14" t="str">
        <f>IF(A90="","",UPPER(TRIM(Form_Raw_Data!D90)))</f>
        <v/>
      </c>
      <c r="E90" s="14" t="str">
        <f>IF(A90="","",TRIM(Form_Raw_Data!E90))</f>
        <v/>
      </c>
      <c r="F90" s="12" t="str">
        <f>IF(A90="","",IF(Form_Raw_Data!F90="","",Form_Raw_Data!F90&amp;""))</f>
        <v/>
      </c>
      <c r="G90" s="14" t="str">
        <f>IF(A90="","",IF(ISNUMBER(Form_Raw_Data!F90),IF(AND(Form_Raw_Data!F90&gt;=0,Form_Raw_Data!F90&lt;=24),Form_Raw_Data!F90,""),""))</f>
        <v/>
      </c>
      <c r="H90" s="14" t="str">
        <f>IF(A90="","",TRIM(Form_Raw_Data!G90))</f>
        <v/>
      </c>
      <c r="I90" s="15" t="str">
        <f t="shared" si="1"/>
        <v/>
      </c>
      <c r="J90" s="15" t="str">
        <f>IF(A90="","",IF(COUNTIF(Lists!$A$4:$A$53,C90)&gt;0,"YES","NO"))</f>
        <v/>
      </c>
      <c r="K90" s="15" t="str">
        <f>IF(A90="","",IF(COUNTIF(Lists!$I$4:$I$53,D90)&gt;0,"YES","NO"))</f>
        <v/>
      </c>
    </row>
    <row r="91" spans="1:11" x14ac:dyDescent="0.35">
      <c r="A91" s="12" t="str">
        <f>IF(Form_Raw_Data!A91="","",Form_Raw_Data!A91)</f>
        <v/>
      </c>
      <c r="B91" s="13" t="str">
        <f>IF(A91="","",Form_Raw_Data!B91)</f>
        <v/>
      </c>
      <c r="C91" s="14" t="str">
        <f>IF(A91="","",UPPER(TRIM(Form_Raw_Data!C91)))</f>
        <v/>
      </c>
      <c r="D91" s="14" t="str">
        <f>IF(A91="","",UPPER(TRIM(Form_Raw_Data!D91)))</f>
        <v/>
      </c>
      <c r="E91" s="14" t="str">
        <f>IF(A91="","",TRIM(Form_Raw_Data!E91))</f>
        <v/>
      </c>
      <c r="F91" s="12" t="str">
        <f>IF(A91="","",IF(Form_Raw_Data!F91="","",Form_Raw_Data!F91&amp;""))</f>
        <v/>
      </c>
      <c r="G91" s="14" t="str">
        <f>IF(A91="","",IF(ISNUMBER(Form_Raw_Data!F91),IF(AND(Form_Raw_Data!F91&gt;=0,Form_Raw_Data!F91&lt;=24),Form_Raw_Data!F91,""),""))</f>
        <v/>
      </c>
      <c r="H91" s="14" t="str">
        <f>IF(A91="","",TRIM(Form_Raw_Data!G91))</f>
        <v/>
      </c>
      <c r="I91" s="15" t="str">
        <f t="shared" si="1"/>
        <v/>
      </c>
      <c r="J91" s="15" t="str">
        <f>IF(A91="","",IF(COUNTIF(Lists!$A$4:$A$53,C91)&gt;0,"YES","NO"))</f>
        <v/>
      </c>
      <c r="K91" s="15" t="str">
        <f>IF(A91="","",IF(COUNTIF(Lists!$I$4:$I$53,D91)&gt;0,"YES","NO"))</f>
        <v/>
      </c>
    </row>
    <row r="92" spans="1:11" x14ac:dyDescent="0.35">
      <c r="A92" s="12" t="str">
        <f>IF(Form_Raw_Data!A92="","",Form_Raw_Data!A92)</f>
        <v/>
      </c>
      <c r="B92" s="13" t="str">
        <f>IF(A92="","",Form_Raw_Data!B92)</f>
        <v/>
      </c>
      <c r="C92" s="14" t="str">
        <f>IF(A92="","",UPPER(TRIM(Form_Raw_Data!C92)))</f>
        <v/>
      </c>
      <c r="D92" s="14" t="str">
        <f>IF(A92="","",UPPER(TRIM(Form_Raw_Data!D92)))</f>
        <v/>
      </c>
      <c r="E92" s="14" t="str">
        <f>IF(A92="","",TRIM(Form_Raw_Data!E92))</f>
        <v/>
      </c>
      <c r="F92" s="12" t="str">
        <f>IF(A92="","",IF(Form_Raw_Data!F92="","",Form_Raw_Data!F92&amp;""))</f>
        <v/>
      </c>
      <c r="G92" s="14" t="str">
        <f>IF(A92="","",IF(ISNUMBER(Form_Raw_Data!F92),IF(AND(Form_Raw_Data!F92&gt;=0,Form_Raw_Data!F92&lt;=24),Form_Raw_Data!F92,""),""))</f>
        <v/>
      </c>
      <c r="H92" s="14" t="str">
        <f>IF(A92="","",TRIM(Form_Raw_Data!G92))</f>
        <v/>
      </c>
      <c r="I92" s="15" t="str">
        <f t="shared" si="1"/>
        <v/>
      </c>
      <c r="J92" s="15" t="str">
        <f>IF(A92="","",IF(COUNTIF(Lists!$A$4:$A$53,C92)&gt;0,"YES","NO"))</f>
        <v/>
      </c>
      <c r="K92" s="15" t="str">
        <f>IF(A92="","",IF(COUNTIF(Lists!$I$4:$I$53,D92)&gt;0,"YES","NO"))</f>
        <v/>
      </c>
    </row>
    <row r="93" spans="1:11" x14ac:dyDescent="0.35">
      <c r="A93" s="12" t="str">
        <f>IF(Form_Raw_Data!A93="","",Form_Raw_Data!A93)</f>
        <v/>
      </c>
      <c r="B93" s="13" t="str">
        <f>IF(A93="","",Form_Raw_Data!B93)</f>
        <v/>
      </c>
      <c r="C93" s="14" t="str">
        <f>IF(A93="","",UPPER(TRIM(Form_Raw_Data!C93)))</f>
        <v/>
      </c>
      <c r="D93" s="14" t="str">
        <f>IF(A93="","",UPPER(TRIM(Form_Raw_Data!D93)))</f>
        <v/>
      </c>
      <c r="E93" s="14" t="str">
        <f>IF(A93="","",TRIM(Form_Raw_Data!E93))</f>
        <v/>
      </c>
      <c r="F93" s="12" t="str">
        <f>IF(A93="","",IF(Form_Raw_Data!F93="","",Form_Raw_Data!F93&amp;""))</f>
        <v/>
      </c>
      <c r="G93" s="14" t="str">
        <f>IF(A93="","",IF(ISNUMBER(Form_Raw_Data!F93),IF(AND(Form_Raw_Data!F93&gt;=0,Form_Raw_Data!F93&lt;=24),Form_Raw_Data!F93,""),""))</f>
        <v/>
      </c>
      <c r="H93" s="14" t="str">
        <f>IF(A93="","",TRIM(Form_Raw_Data!G93))</f>
        <v/>
      </c>
      <c r="I93" s="15" t="str">
        <f t="shared" si="1"/>
        <v/>
      </c>
      <c r="J93" s="15" t="str">
        <f>IF(A93="","",IF(COUNTIF(Lists!$A$4:$A$53,C93)&gt;0,"YES","NO"))</f>
        <v/>
      </c>
      <c r="K93" s="15" t="str">
        <f>IF(A93="","",IF(COUNTIF(Lists!$I$4:$I$53,D93)&gt;0,"YES","NO"))</f>
        <v/>
      </c>
    </row>
    <row r="94" spans="1:11" x14ac:dyDescent="0.35">
      <c r="A94" s="12" t="str">
        <f>IF(Form_Raw_Data!A94="","",Form_Raw_Data!A94)</f>
        <v/>
      </c>
      <c r="B94" s="13" t="str">
        <f>IF(A94="","",Form_Raw_Data!B94)</f>
        <v/>
      </c>
      <c r="C94" s="14" t="str">
        <f>IF(A94="","",UPPER(TRIM(Form_Raw_Data!C94)))</f>
        <v/>
      </c>
      <c r="D94" s="14" t="str">
        <f>IF(A94="","",UPPER(TRIM(Form_Raw_Data!D94)))</f>
        <v/>
      </c>
      <c r="E94" s="14" t="str">
        <f>IF(A94="","",TRIM(Form_Raw_Data!E94))</f>
        <v/>
      </c>
      <c r="F94" s="12" t="str">
        <f>IF(A94="","",IF(Form_Raw_Data!F94="","",Form_Raw_Data!F94&amp;""))</f>
        <v/>
      </c>
      <c r="G94" s="14" t="str">
        <f>IF(A94="","",IF(ISNUMBER(Form_Raw_Data!F94),IF(AND(Form_Raw_Data!F94&gt;=0,Form_Raw_Data!F94&lt;=24),Form_Raw_Data!F94,""),""))</f>
        <v/>
      </c>
      <c r="H94" s="14" t="str">
        <f>IF(A94="","",TRIM(Form_Raw_Data!G94))</f>
        <v/>
      </c>
      <c r="I94" s="15" t="str">
        <f t="shared" si="1"/>
        <v/>
      </c>
      <c r="J94" s="15" t="str">
        <f>IF(A94="","",IF(COUNTIF(Lists!$A$4:$A$53,C94)&gt;0,"YES","NO"))</f>
        <v/>
      </c>
      <c r="K94" s="15" t="str">
        <f>IF(A94="","",IF(COUNTIF(Lists!$I$4:$I$53,D94)&gt;0,"YES","NO"))</f>
        <v/>
      </c>
    </row>
    <row r="95" spans="1:11" x14ac:dyDescent="0.35">
      <c r="A95" s="12" t="str">
        <f>IF(Form_Raw_Data!A95="","",Form_Raw_Data!A95)</f>
        <v/>
      </c>
      <c r="B95" s="13" t="str">
        <f>IF(A95="","",Form_Raw_Data!B95)</f>
        <v/>
      </c>
      <c r="C95" s="14" t="str">
        <f>IF(A95="","",UPPER(TRIM(Form_Raw_Data!C95)))</f>
        <v/>
      </c>
      <c r="D95" s="14" t="str">
        <f>IF(A95="","",UPPER(TRIM(Form_Raw_Data!D95)))</f>
        <v/>
      </c>
      <c r="E95" s="14" t="str">
        <f>IF(A95="","",TRIM(Form_Raw_Data!E95))</f>
        <v/>
      </c>
      <c r="F95" s="12" t="str">
        <f>IF(A95="","",IF(Form_Raw_Data!F95="","",Form_Raw_Data!F95&amp;""))</f>
        <v/>
      </c>
      <c r="G95" s="14" t="str">
        <f>IF(A95="","",IF(ISNUMBER(Form_Raw_Data!F95),IF(AND(Form_Raw_Data!F95&gt;=0,Form_Raw_Data!F95&lt;=24),Form_Raw_Data!F95,""),""))</f>
        <v/>
      </c>
      <c r="H95" s="14" t="str">
        <f>IF(A95="","",TRIM(Form_Raw_Data!G95))</f>
        <v/>
      </c>
      <c r="I95" s="15" t="str">
        <f t="shared" si="1"/>
        <v/>
      </c>
      <c r="J95" s="15" t="str">
        <f>IF(A95="","",IF(COUNTIF(Lists!$A$4:$A$53,C95)&gt;0,"YES","NO"))</f>
        <v/>
      </c>
      <c r="K95" s="15" t="str">
        <f>IF(A95="","",IF(COUNTIF(Lists!$I$4:$I$53,D95)&gt;0,"YES","NO"))</f>
        <v/>
      </c>
    </row>
    <row r="96" spans="1:11" x14ac:dyDescent="0.35">
      <c r="A96" s="12" t="str">
        <f>IF(Form_Raw_Data!A96="","",Form_Raw_Data!A96)</f>
        <v/>
      </c>
      <c r="B96" s="13" t="str">
        <f>IF(A96="","",Form_Raw_Data!B96)</f>
        <v/>
      </c>
      <c r="C96" s="14" t="str">
        <f>IF(A96="","",UPPER(TRIM(Form_Raw_Data!C96)))</f>
        <v/>
      </c>
      <c r="D96" s="14" t="str">
        <f>IF(A96="","",UPPER(TRIM(Form_Raw_Data!D96)))</f>
        <v/>
      </c>
      <c r="E96" s="14" t="str">
        <f>IF(A96="","",TRIM(Form_Raw_Data!E96))</f>
        <v/>
      </c>
      <c r="F96" s="12" t="str">
        <f>IF(A96="","",IF(Form_Raw_Data!F96="","",Form_Raw_Data!F96&amp;""))</f>
        <v/>
      </c>
      <c r="G96" s="14" t="str">
        <f>IF(A96="","",IF(ISNUMBER(Form_Raw_Data!F96),IF(AND(Form_Raw_Data!F96&gt;=0,Form_Raw_Data!F96&lt;=24),Form_Raw_Data!F96,""),""))</f>
        <v/>
      </c>
      <c r="H96" s="14" t="str">
        <f>IF(A96="","",TRIM(Form_Raw_Data!G96))</f>
        <v/>
      </c>
      <c r="I96" s="15" t="str">
        <f t="shared" si="1"/>
        <v/>
      </c>
      <c r="J96" s="15" t="str">
        <f>IF(A96="","",IF(COUNTIF(Lists!$A$4:$A$53,C96)&gt;0,"YES","NO"))</f>
        <v/>
      </c>
      <c r="K96" s="15" t="str">
        <f>IF(A96="","",IF(COUNTIF(Lists!$I$4:$I$53,D96)&gt;0,"YES","NO"))</f>
        <v/>
      </c>
    </row>
    <row r="97" spans="1:11" x14ac:dyDescent="0.35">
      <c r="A97" s="12" t="str">
        <f>IF(Form_Raw_Data!A97="","",Form_Raw_Data!A97)</f>
        <v/>
      </c>
      <c r="B97" s="13" t="str">
        <f>IF(A97="","",Form_Raw_Data!B97)</f>
        <v/>
      </c>
      <c r="C97" s="14" t="str">
        <f>IF(A97="","",UPPER(TRIM(Form_Raw_Data!C97)))</f>
        <v/>
      </c>
      <c r="D97" s="14" t="str">
        <f>IF(A97="","",UPPER(TRIM(Form_Raw_Data!D97)))</f>
        <v/>
      </c>
      <c r="E97" s="14" t="str">
        <f>IF(A97="","",TRIM(Form_Raw_Data!E97))</f>
        <v/>
      </c>
      <c r="F97" s="12" t="str">
        <f>IF(A97="","",IF(Form_Raw_Data!F97="","",Form_Raw_Data!F97&amp;""))</f>
        <v/>
      </c>
      <c r="G97" s="14" t="str">
        <f>IF(A97="","",IF(ISNUMBER(Form_Raw_Data!F97),IF(AND(Form_Raw_Data!F97&gt;=0,Form_Raw_Data!F97&lt;=24),Form_Raw_Data!F97,""),""))</f>
        <v/>
      </c>
      <c r="H97" s="14" t="str">
        <f>IF(A97="","",TRIM(Form_Raw_Data!G97))</f>
        <v/>
      </c>
      <c r="I97" s="15" t="str">
        <f t="shared" si="1"/>
        <v/>
      </c>
      <c r="J97" s="15" t="str">
        <f>IF(A97="","",IF(COUNTIF(Lists!$A$4:$A$53,C97)&gt;0,"YES","NO"))</f>
        <v/>
      </c>
      <c r="K97" s="15" t="str">
        <f>IF(A97="","",IF(COUNTIF(Lists!$I$4:$I$53,D97)&gt;0,"YES","NO"))</f>
        <v/>
      </c>
    </row>
    <row r="98" spans="1:11" x14ac:dyDescent="0.35">
      <c r="A98" s="12" t="str">
        <f>IF(Form_Raw_Data!A98="","",Form_Raw_Data!A98)</f>
        <v/>
      </c>
      <c r="B98" s="13" t="str">
        <f>IF(A98="","",Form_Raw_Data!B98)</f>
        <v/>
      </c>
      <c r="C98" s="14" t="str">
        <f>IF(A98="","",UPPER(TRIM(Form_Raw_Data!C98)))</f>
        <v/>
      </c>
      <c r="D98" s="14" t="str">
        <f>IF(A98="","",UPPER(TRIM(Form_Raw_Data!D98)))</f>
        <v/>
      </c>
      <c r="E98" s="14" t="str">
        <f>IF(A98="","",TRIM(Form_Raw_Data!E98))</f>
        <v/>
      </c>
      <c r="F98" s="12" t="str">
        <f>IF(A98="","",IF(Form_Raw_Data!F98="","",Form_Raw_Data!F98&amp;""))</f>
        <v/>
      </c>
      <c r="G98" s="14" t="str">
        <f>IF(A98="","",IF(ISNUMBER(Form_Raw_Data!F98),IF(AND(Form_Raw_Data!F98&gt;=0,Form_Raw_Data!F98&lt;=24),Form_Raw_Data!F98,""),""))</f>
        <v/>
      </c>
      <c r="H98" s="14" t="str">
        <f>IF(A98="","",TRIM(Form_Raw_Data!G98))</f>
        <v/>
      </c>
      <c r="I98" s="15" t="str">
        <f t="shared" si="1"/>
        <v/>
      </c>
      <c r="J98" s="15" t="str">
        <f>IF(A98="","",IF(COUNTIF(Lists!$A$4:$A$53,C98)&gt;0,"YES","NO"))</f>
        <v/>
      </c>
      <c r="K98" s="15" t="str">
        <f>IF(A98="","",IF(COUNTIF(Lists!$I$4:$I$53,D98)&gt;0,"YES","NO"))</f>
        <v/>
      </c>
    </row>
    <row r="99" spans="1:11" x14ac:dyDescent="0.35">
      <c r="A99" s="12" t="str">
        <f>IF(Form_Raw_Data!A99="","",Form_Raw_Data!A99)</f>
        <v/>
      </c>
      <c r="B99" s="13" t="str">
        <f>IF(A99="","",Form_Raw_Data!B99)</f>
        <v/>
      </c>
      <c r="C99" s="14" t="str">
        <f>IF(A99="","",UPPER(TRIM(Form_Raw_Data!C99)))</f>
        <v/>
      </c>
      <c r="D99" s="14" t="str">
        <f>IF(A99="","",UPPER(TRIM(Form_Raw_Data!D99)))</f>
        <v/>
      </c>
      <c r="E99" s="14" t="str">
        <f>IF(A99="","",TRIM(Form_Raw_Data!E99))</f>
        <v/>
      </c>
      <c r="F99" s="12" t="str">
        <f>IF(A99="","",IF(Form_Raw_Data!F99="","",Form_Raw_Data!F99&amp;""))</f>
        <v/>
      </c>
      <c r="G99" s="14" t="str">
        <f>IF(A99="","",IF(ISNUMBER(Form_Raw_Data!F99),IF(AND(Form_Raw_Data!F99&gt;=0,Form_Raw_Data!F99&lt;=24),Form_Raw_Data!F99,""),""))</f>
        <v/>
      </c>
      <c r="H99" s="14" t="str">
        <f>IF(A99="","",TRIM(Form_Raw_Data!G99))</f>
        <v/>
      </c>
      <c r="I99" s="15" t="str">
        <f t="shared" si="1"/>
        <v/>
      </c>
      <c r="J99" s="15" t="str">
        <f>IF(A99="","",IF(COUNTIF(Lists!$A$4:$A$53,C99)&gt;0,"YES","NO"))</f>
        <v/>
      </c>
      <c r="K99" s="15" t="str">
        <f>IF(A99="","",IF(COUNTIF(Lists!$I$4:$I$53,D99)&gt;0,"YES","NO"))</f>
        <v/>
      </c>
    </row>
    <row r="100" spans="1:11" x14ac:dyDescent="0.35">
      <c r="A100" s="12" t="str">
        <f>IF(Form_Raw_Data!A100="","",Form_Raw_Data!A100)</f>
        <v/>
      </c>
      <c r="B100" s="13" t="str">
        <f>IF(A100="","",Form_Raw_Data!B100)</f>
        <v/>
      </c>
      <c r="C100" s="14" t="str">
        <f>IF(A100="","",UPPER(TRIM(Form_Raw_Data!C100)))</f>
        <v/>
      </c>
      <c r="D100" s="14" t="str">
        <f>IF(A100="","",UPPER(TRIM(Form_Raw_Data!D100)))</f>
        <v/>
      </c>
      <c r="E100" s="14" t="str">
        <f>IF(A100="","",TRIM(Form_Raw_Data!E100))</f>
        <v/>
      </c>
      <c r="F100" s="12" t="str">
        <f>IF(A100="","",IF(Form_Raw_Data!F100="","",Form_Raw_Data!F100&amp;""))</f>
        <v/>
      </c>
      <c r="G100" s="14" t="str">
        <f>IF(A100="","",IF(ISNUMBER(Form_Raw_Data!F100),IF(AND(Form_Raw_Data!F100&gt;=0,Form_Raw_Data!F100&lt;=24),Form_Raw_Data!F100,""),""))</f>
        <v/>
      </c>
      <c r="H100" s="14" t="str">
        <f>IF(A100="","",TRIM(Form_Raw_Data!G100))</f>
        <v/>
      </c>
      <c r="I100" s="15" t="str">
        <f t="shared" si="1"/>
        <v/>
      </c>
      <c r="J100" s="15" t="str">
        <f>IF(A100="","",IF(COUNTIF(Lists!$A$4:$A$53,C100)&gt;0,"YES","NO"))</f>
        <v/>
      </c>
      <c r="K100" s="15" t="str">
        <f>IF(A100="","",IF(COUNTIF(Lists!$I$4:$I$53,D100)&gt;0,"YES","NO"))</f>
        <v/>
      </c>
    </row>
    <row r="101" spans="1:11" x14ac:dyDescent="0.35">
      <c r="A101" s="12" t="str">
        <f>IF(Form_Raw_Data!A101="","",Form_Raw_Data!A101)</f>
        <v/>
      </c>
      <c r="B101" s="13" t="str">
        <f>IF(A101="","",Form_Raw_Data!B101)</f>
        <v/>
      </c>
      <c r="C101" s="14" t="str">
        <f>IF(A101="","",UPPER(TRIM(Form_Raw_Data!C101)))</f>
        <v/>
      </c>
      <c r="D101" s="14" t="str">
        <f>IF(A101="","",UPPER(TRIM(Form_Raw_Data!D101)))</f>
        <v/>
      </c>
      <c r="E101" s="14" t="str">
        <f>IF(A101="","",TRIM(Form_Raw_Data!E101))</f>
        <v/>
      </c>
      <c r="F101" s="12" t="str">
        <f>IF(A101="","",IF(Form_Raw_Data!F101="","",Form_Raw_Data!F101&amp;""))</f>
        <v/>
      </c>
      <c r="G101" s="14" t="str">
        <f>IF(A101="","",IF(ISNUMBER(Form_Raw_Data!F101),IF(AND(Form_Raw_Data!F101&gt;=0,Form_Raw_Data!F101&lt;=24),Form_Raw_Data!F101,""),""))</f>
        <v/>
      </c>
      <c r="H101" s="14" t="str">
        <f>IF(A101="","",TRIM(Form_Raw_Data!G101))</f>
        <v/>
      </c>
      <c r="I101" s="15" t="str">
        <f t="shared" si="1"/>
        <v/>
      </c>
      <c r="J101" s="15" t="str">
        <f>IF(A101="","",IF(COUNTIF(Lists!$A$4:$A$53,C101)&gt;0,"YES","NO"))</f>
        <v/>
      </c>
      <c r="K101" s="15" t="str">
        <f>IF(A101="","",IF(COUNTIF(Lists!$I$4:$I$53,D101)&gt;0,"YES","NO"))</f>
        <v/>
      </c>
    </row>
    <row r="102" spans="1:11" x14ac:dyDescent="0.35">
      <c r="A102" s="12" t="str">
        <f>IF(Form_Raw_Data!A102="","",Form_Raw_Data!A102)</f>
        <v/>
      </c>
      <c r="B102" s="13" t="str">
        <f>IF(A102="","",Form_Raw_Data!B102)</f>
        <v/>
      </c>
      <c r="C102" s="14" t="str">
        <f>IF(A102="","",UPPER(TRIM(Form_Raw_Data!C102)))</f>
        <v/>
      </c>
      <c r="D102" s="14" t="str">
        <f>IF(A102="","",UPPER(TRIM(Form_Raw_Data!D102)))</f>
        <v/>
      </c>
      <c r="E102" s="14" t="str">
        <f>IF(A102="","",TRIM(Form_Raw_Data!E102))</f>
        <v/>
      </c>
      <c r="F102" s="12" t="str">
        <f>IF(A102="","",IF(Form_Raw_Data!F102="","",Form_Raw_Data!F102&amp;""))</f>
        <v/>
      </c>
      <c r="G102" s="14" t="str">
        <f>IF(A102="","",IF(ISNUMBER(Form_Raw_Data!F102),IF(AND(Form_Raw_Data!F102&gt;=0,Form_Raw_Data!F102&lt;=24),Form_Raw_Data!F102,""),""))</f>
        <v/>
      </c>
      <c r="H102" s="14" t="str">
        <f>IF(A102="","",TRIM(Form_Raw_Data!G102))</f>
        <v/>
      </c>
      <c r="I102" s="15" t="str">
        <f t="shared" si="1"/>
        <v/>
      </c>
      <c r="J102" s="15" t="str">
        <f>IF(A102="","",IF(COUNTIF(Lists!$A$4:$A$53,C102)&gt;0,"YES","NO"))</f>
        <v/>
      </c>
      <c r="K102" s="15" t="str">
        <f>IF(A102="","",IF(COUNTIF(Lists!$I$4:$I$53,D102)&gt;0,"YES","NO"))</f>
        <v/>
      </c>
    </row>
    <row r="103" spans="1:11" x14ac:dyDescent="0.35">
      <c r="A103" s="12" t="str">
        <f>IF(Form_Raw_Data!A103="","",Form_Raw_Data!A103)</f>
        <v/>
      </c>
      <c r="B103" s="13" t="str">
        <f>IF(A103="","",Form_Raw_Data!B103)</f>
        <v/>
      </c>
      <c r="C103" s="14" t="str">
        <f>IF(A103="","",UPPER(TRIM(Form_Raw_Data!C103)))</f>
        <v/>
      </c>
      <c r="D103" s="14" t="str">
        <f>IF(A103="","",UPPER(TRIM(Form_Raw_Data!D103)))</f>
        <v/>
      </c>
      <c r="E103" s="14" t="str">
        <f>IF(A103="","",TRIM(Form_Raw_Data!E103))</f>
        <v/>
      </c>
      <c r="F103" s="12" t="str">
        <f>IF(A103="","",IF(Form_Raw_Data!F103="","",Form_Raw_Data!F103&amp;""))</f>
        <v/>
      </c>
      <c r="G103" s="14" t="str">
        <f>IF(A103="","",IF(ISNUMBER(Form_Raw_Data!F103),IF(AND(Form_Raw_Data!F103&gt;=0,Form_Raw_Data!F103&lt;=24),Form_Raw_Data!F103,""),""))</f>
        <v/>
      </c>
      <c r="H103" s="14" t="str">
        <f>IF(A103="","",TRIM(Form_Raw_Data!G103))</f>
        <v/>
      </c>
      <c r="I103" s="15" t="str">
        <f t="shared" si="1"/>
        <v/>
      </c>
      <c r="J103" s="15" t="str">
        <f>IF(A103="","",IF(COUNTIF(Lists!$A$4:$A$53,C103)&gt;0,"YES","NO"))</f>
        <v/>
      </c>
      <c r="K103" s="15" t="str">
        <f>IF(A103="","",IF(COUNTIF(Lists!$I$4:$I$53,D103)&gt;0,"YES","NO"))</f>
        <v/>
      </c>
    </row>
    <row r="104" spans="1:11" x14ac:dyDescent="0.35">
      <c r="A104" s="12" t="str">
        <f>IF(Form_Raw_Data!A104="","",Form_Raw_Data!A104)</f>
        <v/>
      </c>
      <c r="B104" s="13" t="str">
        <f>IF(A104="","",Form_Raw_Data!B104)</f>
        <v/>
      </c>
      <c r="C104" s="14" t="str">
        <f>IF(A104="","",UPPER(TRIM(Form_Raw_Data!C104)))</f>
        <v/>
      </c>
      <c r="D104" s="14" t="str">
        <f>IF(A104="","",UPPER(TRIM(Form_Raw_Data!D104)))</f>
        <v/>
      </c>
      <c r="E104" s="14" t="str">
        <f>IF(A104="","",TRIM(Form_Raw_Data!E104))</f>
        <v/>
      </c>
      <c r="F104" s="12" t="str">
        <f>IF(A104="","",IF(Form_Raw_Data!F104="","",Form_Raw_Data!F104&amp;""))</f>
        <v/>
      </c>
      <c r="G104" s="14" t="str">
        <f>IF(A104="","",IF(ISNUMBER(Form_Raw_Data!F104),IF(AND(Form_Raw_Data!F104&gt;=0,Form_Raw_Data!F104&lt;=24),Form_Raw_Data!F104,""),""))</f>
        <v/>
      </c>
      <c r="H104" s="14" t="str">
        <f>IF(A104="","",TRIM(Form_Raw_Data!G104))</f>
        <v/>
      </c>
      <c r="I104" s="15" t="str">
        <f t="shared" si="1"/>
        <v/>
      </c>
      <c r="J104" s="15" t="str">
        <f>IF(A104="","",IF(COUNTIF(Lists!$A$4:$A$53,C104)&gt;0,"YES","NO"))</f>
        <v/>
      </c>
      <c r="K104" s="15" t="str">
        <f>IF(A104="","",IF(COUNTIF(Lists!$I$4:$I$53,D104)&gt;0,"YES","NO"))</f>
        <v/>
      </c>
    </row>
    <row r="105" spans="1:11" x14ac:dyDescent="0.35">
      <c r="A105" s="12" t="str">
        <f>IF(Form_Raw_Data!A105="","",Form_Raw_Data!A105)</f>
        <v/>
      </c>
      <c r="B105" s="13" t="str">
        <f>IF(A105="","",Form_Raw_Data!B105)</f>
        <v/>
      </c>
      <c r="C105" s="14" t="str">
        <f>IF(A105="","",UPPER(TRIM(Form_Raw_Data!C105)))</f>
        <v/>
      </c>
      <c r="D105" s="14" t="str">
        <f>IF(A105="","",UPPER(TRIM(Form_Raw_Data!D105)))</f>
        <v/>
      </c>
      <c r="E105" s="14" t="str">
        <f>IF(A105="","",TRIM(Form_Raw_Data!E105))</f>
        <v/>
      </c>
      <c r="F105" s="12" t="str">
        <f>IF(A105="","",IF(Form_Raw_Data!F105="","",Form_Raw_Data!F105&amp;""))</f>
        <v/>
      </c>
      <c r="G105" s="14" t="str">
        <f>IF(A105="","",IF(ISNUMBER(Form_Raw_Data!F105),IF(AND(Form_Raw_Data!F105&gt;=0,Form_Raw_Data!F105&lt;=24),Form_Raw_Data!F105,""),""))</f>
        <v/>
      </c>
      <c r="H105" s="14" t="str">
        <f>IF(A105="","",TRIM(Form_Raw_Data!G105))</f>
        <v/>
      </c>
      <c r="I105" s="15" t="str">
        <f t="shared" si="1"/>
        <v/>
      </c>
      <c r="J105" s="15" t="str">
        <f>IF(A105="","",IF(COUNTIF(Lists!$A$4:$A$53,C105)&gt;0,"YES","NO"))</f>
        <v/>
      </c>
      <c r="K105" s="15" t="str">
        <f>IF(A105="","",IF(COUNTIF(Lists!$I$4:$I$53,D105)&gt;0,"YES","NO"))</f>
        <v/>
      </c>
    </row>
    <row r="106" spans="1:11" x14ac:dyDescent="0.35">
      <c r="A106" s="12" t="str">
        <f>IF(Form_Raw_Data!A106="","",Form_Raw_Data!A106)</f>
        <v/>
      </c>
      <c r="B106" s="13" t="str">
        <f>IF(A106="","",Form_Raw_Data!B106)</f>
        <v/>
      </c>
      <c r="C106" s="14" t="str">
        <f>IF(A106="","",UPPER(TRIM(Form_Raw_Data!C106)))</f>
        <v/>
      </c>
      <c r="D106" s="14" t="str">
        <f>IF(A106="","",UPPER(TRIM(Form_Raw_Data!D106)))</f>
        <v/>
      </c>
      <c r="E106" s="14" t="str">
        <f>IF(A106="","",TRIM(Form_Raw_Data!E106))</f>
        <v/>
      </c>
      <c r="F106" s="12" t="str">
        <f>IF(A106="","",IF(Form_Raw_Data!F106="","",Form_Raw_Data!F106&amp;""))</f>
        <v/>
      </c>
      <c r="G106" s="14" t="str">
        <f>IF(A106="","",IF(ISNUMBER(Form_Raw_Data!F106),IF(AND(Form_Raw_Data!F106&gt;=0,Form_Raw_Data!F106&lt;=24),Form_Raw_Data!F106,""),""))</f>
        <v/>
      </c>
      <c r="H106" s="14" t="str">
        <f>IF(A106="","",TRIM(Form_Raw_Data!G106))</f>
        <v/>
      </c>
      <c r="I106" s="15" t="str">
        <f t="shared" si="1"/>
        <v/>
      </c>
      <c r="J106" s="15" t="str">
        <f>IF(A106="","",IF(COUNTIF(Lists!$A$4:$A$53,C106)&gt;0,"YES","NO"))</f>
        <v/>
      </c>
      <c r="K106" s="15" t="str">
        <f>IF(A106="","",IF(COUNTIF(Lists!$I$4:$I$53,D106)&gt;0,"YES","NO"))</f>
        <v/>
      </c>
    </row>
    <row r="107" spans="1:11" x14ac:dyDescent="0.35">
      <c r="A107" s="12" t="str">
        <f>IF(Form_Raw_Data!A107="","",Form_Raw_Data!A107)</f>
        <v/>
      </c>
      <c r="B107" s="13" t="str">
        <f>IF(A107="","",Form_Raw_Data!B107)</f>
        <v/>
      </c>
      <c r="C107" s="14" t="str">
        <f>IF(A107="","",UPPER(TRIM(Form_Raw_Data!C107)))</f>
        <v/>
      </c>
      <c r="D107" s="14" t="str">
        <f>IF(A107="","",UPPER(TRIM(Form_Raw_Data!D107)))</f>
        <v/>
      </c>
      <c r="E107" s="14" t="str">
        <f>IF(A107="","",TRIM(Form_Raw_Data!E107))</f>
        <v/>
      </c>
      <c r="F107" s="12" t="str">
        <f>IF(A107="","",IF(Form_Raw_Data!F107="","",Form_Raw_Data!F107&amp;""))</f>
        <v/>
      </c>
      <c r="G107" s="14" t="str">
        <f>IF(A107="","",IF(ISNUMBER(Form_Raw_Data!F107),IF(AND(Form_Raw_Data!F107&gt;=0,Form_Raw_Data!F107&lt;=24),Form_Raw_Data!F107,""),""))</f>
        <v/>
      </c>
      <c r="H107" s="14" t="str">
        <f>IF(A107="","",TRIM(Form_Raw_Data!G107))</f>
        <v/>
      </c>
      <c r="I107" s="15" t="str">
        <f t="shared" si="1"/>
        <v/>
      </c>
      <c r="J107" s="15" t="str">
        <f>IF(A107="","",IF(COUNTIF(Lists!$A$4:$A$53,C107)&gt;0,"YES","NO"))</f>
        <v/>
      </c>
      <c r="K107" s="15" t="str">
        <f>IF(A107="","",IF(COUNTIF(Lists!$I$4:$I$53,D107)&gt;0,"YES","NO"))</f>
        <v/>
      </c>
    </row>
    <row r="108" spans="1:11" x14ac:dyDescent="0.35">
      <c r="A108" s="12" t="str">
        <f>IF(Form_Raw_Data!A108="","",Form_Raw_Data!A108)</f>
        <v/>
      </c>
      <c r="B108" s="13" t="str">
        <f>IF(A108="","",Form_Raw_Data!B108)</f>
        <v/>
      </c>
      <c r="C108" s="14" t="str">
        <f>IF(A108="","",UPPER(TRIM(Form_Raw_Data!C108)))</f>
        <v/>
      </c>
      <c r="D108" s="14" t="str">
        <f>IF(A108="","",UPPER(TRIM(Form_Raw_Data!D108)))</f>
        <v/>
      </c>
      <c r="E108" s="14" t="str">
        <f>IF(A108="","",TRIM(Form_Raw_Data!E108))</f>
        <v/>
      </c>
      <c r="F108" s="12" t="str">
        <f>IF(A108="","",IF(Form_Raw_Data!F108="","",Form_Raw_Data!F108&amp;""))</f>
        <v/>
      </c>
      <c r="G108" s="14" t="str">
        <f>IF(A108="","",IF(ISNUMBER(Form_Raw_Data!F108),IF(AND(Form_Raw_Data!F108&gt;=0,Form_Raw_Data!F108&lt;=24),Form_Raw_Data!F108,""),""))</f>
        <v/>
      </c>
      <c r="H108" s="14" t="str">
        <f>IF(A108="","",TRIM(Form_Raw_Data!G108))</f>
        <v/>
      </c>
      <c r="I108" s="15" t="str">
        <f t="shared" si="1"/>
        <v/>
      </c>
      <c r="J108" s="15" t="str">
        <f>IF(A108="","",IF(COUNTIF(Lists!$A$4:$A$53,C108)&gt;0,"YES","NO"))</f>
        <v/>
      </c>
      <c r="K108" s="15" t="str">
        <f>IF(A108="","",IF(COUNTIF(Lists!$I$4:$I$53,D108)&gt;0,"YES","NO"))</f>
        <v/>
      </c>
    </row>
    <row r="109" spans="1:11" x14ac:dyDescent="0.35">
      <c r="A109" s="12" t="str">
        <f>IF(Form_Raw_Data!A109="","",Form_Raw_Data!A109)</f>
        <v/>
      </c>
      <c r="B109" s="13" t="str">
        <f>IF(A109="","",Form_Raw_Data!B109)</f>
        <v/>
      </c>
      <c r="C109" s="14" t="str">
        <f>IF(A109="","",UPPER(TRIM(Form_Raw_Data!C109)))</f>
        <v/>
      </c>
      <c r="D109" s="14" t="str">
        <f>IF(A109="","",UPPER(TRIM(Form_Raw_Data!D109)))</f>
        <v/>
      </c>
      <c r="E109" s="14" t="str">
        <f>IF(A109="","",TRIM(Form_Raw_Data!E109))</f>
        <v/>
      </c>
      <c r="F109" s="12" t="str">
        <f>IF(A109="","",IF(Form_Raw_Data!F109="","",Form_Raw_Data!F109&amp;""))</f>
        <v/>
      </c>
      <c r="G109" s="14" t="str">
        <f>IF(A109="","",IF(ISNUMBER(Form_Raw_Data!F109),IF(AND(Form_Raw_Data!F109&gt;=0,Form_Raw_Data!F109&lt;=24),Form_Raw_Data!F109,""),""))</f>
        <v/>
      </c>
      <c r="H109" s="14" t="str">
        <f>IF(A109="","",TRIM(Form_Raw_Data!G109))</f>
        <v/>
      </c>
      <c r="I109" s="15" t="str">
        <f t="shared" si="1"/>
        <v/>
      </c>
      <c r="J109" s="15" t="str">
        <f>IF(A109="","",IF(COUNTIF(Lists!$A$4:$A$53,C109)&gt;0,"YES","NO"))</f>
        <v/>
      </c>
      <c r="K109" s="15" t="str">
        <f>IF(A109="","",IF(COUNTIF(Lists!$I$4:$I$53,D109)&gt;0,"YES","NO"))</f>
        <v/>
      </c>
    </row>
    <row r="110" spans="1:11" x14ac:dyDescent="0.35">
      <c r="A110" s="12" t="str">
        <f>IF(Form_Raw_Data!A110="","",Form_Raw_Data!A110)</f>
        <v/>
      </c>
      <c r="B110" s="13" t="str">
        <f>IF(A110="","",Form_Raw_Data!B110)</f>
        <v/>
      </c>
      <c r="C110" s="14" t="str">
        <f>IF(A110="","",UPPER(TRIM(Form_Raw_Data!C110)))</f>
        <v/>
      </c>
      <c r="D110" s="14" t="str">
        <f>IF(A110="","",UPPER(TRIM(Form_Raw_Data!D110)))</f>
        <v/>
      </c>
      <c r="E110" s="14" t="str">
        <f>IF(A110="","",TRIM(Form_Raw_Data!E110))</f>
        <v/>
      </c>
      <c r="F110" s="12" t="str">
        <f>IF(A110="","",IF(Form_Raw_Data!F110="","",Form_Raw_Data!F110&amp;""))</f>
        <v/>
      </c>
      <c r="G110" s="14" t="str">
        <f>IF(A110="","",IF(ISNUMBER(Form_Raw_Data!F110),IF(AND(Form_Raw_Data!F110&gt;=0,Form_Raw_Data!F110&lt;=24),Form_Raw_Data!F110,""),""))</f>
        <v/>
      </c>
      <c r="H110" s="14" t="str">
        <f>IF(A110="","",TRIM(Form_Raw_Data!G110))</f>
        <v/>
      </c>
      <c r="I110" s="15" t="str">
        <f t="shared" si="1"/>
        <v/>
      </c>
      <c r="J110" s="15" t="str">
        <f>IF(A110="","",IF(COUNTIF(Lists!$A$4:$A$53,C110)&gt;0,"YES","NO"))</f>
        <v/>
      </c>
      <c r="K110" s="15" t="str">
        <f>IF(A110="","",IF(COUNTIF(Lists!$I$4:$I$53,D110)&gt;0,"YES","NO"))</f>
        <v/>
      </c>
    </row>
    <row r="111" spans="1:11" x14ac:dyDescent="0.35">
      <c r="A111" s="12" t="str">
        <f>IF(Form_Raw_Data!A111="","",Form_Raw_Data!A111)</f>
        <v/>
      </c>
      <c r="B111" s="13" t="str">
        <f>IF(A111="","",Form_Raw_Data!B111)</f>
        <v/>
      </c>
      <c r="C111" s="14" t="str">
        <f>IF(A111="","",UPPER(TRIM(Form_Raw_Data!C111)))</f>
        <v/>
      </c>
      <c r="D111" s="14" t="str">
        <f>IF(A111="","",UPPER(TRIM(Form_Raw_Data!D111)))</f>
        <v/>
      </c>
      <c r="E111" s="14" t="str">
        <f>IF(A111="","",TRIM(Form_Raw_Data!E111))</f>
        <v/>
      </c>
      <c r="F111" s="12" t="str">
        <f>IF(A111="","",IF(Form_Raw_Data!F111="","",Form_Raw_Data!F111&amp;""))</f>
        <v/>
      </c>
      <c r="G111" s="14" t="str">
        <f>IF(A111="","",IF(ISNUMBER(Form_Raw_Data!F111),IF(AND(Form_Raw_Data!F111&gt;=0,Form_Raw_Data!F111&lt;=24),Form_Raw_Data!F111,""),""))</f>
        <v/>
      </c>
      <c r="H111" s="14" t="str">
        <f>IF(A111="","",TRIM(Form_Raw_Data!G111))</f>
        <v/>
      </c>
      <c r="I111" s="15" t="str">
        <f t="shared" si="1"/>
        <v/>
      </c>
      <c r="J111" s="15" t="str">
        <f>IF(A111="","",IF(COUNTIF(Lists!$A$4:$A$53,C111)&gt;0,"YES","NO"))</f>
        <v/>
      </c>
      <c r="K111" s="15" t="str">
        <f>IF(A111="","",IF(COUNTIF(Lists!$I$4:$I$53,D111)&gt;0,"YES","NO"))</f>
        <v/>
      </c>
    </row>
    <row r="112" spans="1:11" x14ac:dyDescent="0.35">
      <c r="A112" s="12" t="str">
        <f>IF(Form_Raw_Data!A112="","",Form_Raw_Data!A112)</f>
        <v/>
      </c>
      <c r="B112" s="13" t="str">
        <f>IF(A112="","",Form_Raw_Data!B112)</f>
        <v/>
      </c>
      <c r="C112" s="14" t="str">
        <f>IF(A112="","",UPPER(TRIM(Form_Raw_Data!C112)))</f>
        <v/>
      </c>
      <c r="D112" s="14" t="str">
        <f>IF(A112="","",UPPER(TRIM(Form_Raw_Data!D112)))</f>
        <v/>
      </c>
      <c r="E112" s="14" t="str">
        <f>IF(A112="","",TRIM(Form_Raw_Data!E112))</f>
        <v/>
      </c>
      <c r="F112" s="12" t="str">
        <f>IF(A112="","",IF(Form_Raw_Data!F112="","",Form_Raw_Data!F112&amp;""))</f>
        <v/>
      </c>
      <c r="G112" s="14" t="str">
        <f>IF(A112="","",IF(ISNUMBER(Form_Raw_Data!F112),IF(AND(Form_Raw_Data!F112&gt;=0,Form_Raw_Data!F112&lt;=24),Form_Raw_Data!F112,""),""))</f>
        <v/>
      </c>
      <c r="H112" s="14" t="str">
        <f>IF(A112="","",TRIM(Form_Raw_Data!G112))</f>
        <v/>
      </c>
      <c r="I112" s="15" t="str">
        <f t="shared" si="1"/>
        <v/>
      </c>
      <c r="J112" s="15" t="str">
        <f>IF(A112="","",IF(COUNTIF(Lists!$A$4:$A$53,C112)&gt;0,"YES","NO"))</f>
        <v/>
      </c>
      <c r="K112" s="15" t="str">
        <f>IF(A112="","",IF(COUNTIF(Lists!$I$4:$I$53,D112)&gt;0,"YES","NO"))</f>
        <v/>
      </c>
    </row>
    <row r="113" spans="1:11" x14ac:dyDescent="0.35">
      <c r="A113" s="12" t="str">
        <f>IF(Form_Raw_Data!A113="","",Form_Raw_Data!A113)</f>
        <v/>
      </c>
      <c r="B113" s="13" t="str">
        <f>IF(A113="","",Form_Raw_Data!B113)</f>
        <v/>
      </c>
      <c r="C113" s="14" t="str">
        <f>IF(A113="","",UPPER(TRIM(Form_Raw_Data!C113)))</f>
        <v/>
      </c>
      <c r="D113" s="14" t="str">
        <f>IF(A113="","",UPPER(TRIM(Form_Raw_Data!D113)))</f>
        <v/>
      </c>
      <c r="E113" s="14" t="str">
        <f>IF(A113="","",TRIM(Form_Raw_Data!E113))</f>
        <v/>
      </c>
      <c r="F113" s="12" t="str">
        <f>IF(A113="","",IF(Form_Raw_Data!F113="","",Form_Raw_Data!F113&amp;""))</f>
        <v/>
      </c>
      <c r="G113" s="14" t="str">
        <f>IF(A113="","",IF(ISNUMBER(Form_Raw_Data!F113),IF(AND(Form_Raw_Data!F113&gt;=0,Form_Raw_Data!F113&lt;=24),Form_Raw_Data!F113,""),""))</f>
        <v/>
      </c>
      <c r="H113" s="14" t="str">
        <f>IF(A113="","",TRIM(Form_Raw_Data!G113))</f>
        <v/>
      </c>
      <c r="I113" s="15" t="str">
        <f t="shared" si="1"/>
        <v/>
      </c>
      <c r="J113" s="15" t="str">
        <f>IF(A113="","",IF(COUNTIF(Lists!$A$4:$A$53,C113)&gt;0,"YES","NO"))</f>
        <v/>
      </c>
      <c r="K113" s="15" t="str">
        <f>IF(A113="","",IF(COUNTIF(Lists!$I$4:$I$53,D113)&gt;0,"YES","NO"))</f>
        <v/>
      </c>
    </row>
    <row r="114" spans="1:11" x14ac:dyDescent="0.35">
      <c r="A114" s="12" t="str">
        <f>IF(Form_Raw_Data!A114="","",Form_Raw_Data!A114)</f>
        <v/>
      </c>
      <c r="B114" s="13" t="str">
        <f>IF(A114="","",Form_Raw_Data!B114)</f>
        <v/>
      </c>
      <c r="C114" s="14" t="str">
        <f>IF(A114="","",UPPER(TRIM(Form_Raw_Data!C114)))</f>
        <v/>
      </c>
      <c r="D114" s="14" t="str">
        <f>IF(A114="","",UPPER(TRIM(Form_Raw_Data!D114)))</f>
        <v/>
      </c>
      <c r="E114" s="14" t="str">
        <f>IF(A114="","",TRIM(Form_Raw_Data!E114))</f>
        <v/>
      </c>
      <c r="F114" s="12" t="str">
        <f>IF(A114="","",IF(Form_Raw_Data!F114="","",Form_Raw_Data!F114&amp;""))</f>
        <v/>
      </c>
      <c r="G114" s="14" t="str">
        <f>IF(A114="","",IF(ISNUMBER(Form_Raw_Data!F114),IF(AND(Form_Raw_Data!F114&gt;=0,Form_Raw_Data!F114&lt;=24),Form_Raw_Data!F114,""),""))</f>
        <v/>
      </c>
      <c r="H114" s="14" t="str">
        <f>IF(A114="","",TRIM(Form_Raw_Data!G114))</f>
        <v/>
      </c>
      <c r="I114" s="15" t="str">
        <f t="shared" si="1"/>
        <v/>
      </c>
      <c r="J114" s="15" t="str">
        <f>IF(A114="","",IF(COUNTIF(Lists!$A$4:$A$53,C114)&gt;0,"YES","NO"))</f>
        <v/>
      </c>
      <c r="K114" s="15" t="str">
        <f>IF(A114="","",IF(COUNTIF(Lists!$I$4:$I$53,D114)&gt;0,"YES","NO"))</f>
        <v/>
      </c>
    </row>
    <row r="115" spans="1:11" x14ac:dyDescent="0.35">
      <c r="A115" s="12" t="str">
        <f>IF(Form_Raw_Data!A115="","",Form_Raw_Data!A115)</f>
        <v/>
      </c>
      <c r="B115" s="13" t="str">
        <f>IF(A115="","",Form_Raw_Data!B115)</f>
        <v/>
      </c>
      <c r="C115" s="14" t="str">
        <f>IF(A115="","",UPPER(TRIM(Form_Raw_Data!C115)))</f>
        <v/>
      </c>
      <c r="D115" s="14" t="str">
        <f>IF(A115="","",UPPER(TRIM(Form_Raw_Data!D115)))</f>
        <v/>
      </c>
      <c r="E115" s="14" t="str">
        <f>IF(A115="","",TRIM(Form_Raw_Data!E115))</f>
        <v/>
      </c>
      <c r="F115" s="12" t="str">
        <f>IF(A115="","",IF(Form_Raw_Data!F115="","",Form_Raw_Data!F115&amp;""))</f>
        <v/>
      </c>
      <c r="G115" s="14" t="str">
        <f>IF(A115="","",IF(ISNUMBER(Form_Raw_Data!F115),IF(AND(Form_Raw_Data!F115&gt;=0,Form_Raw_Data!F115&lt;=24),Form_Raw_Data!F115,""),""))</f>
        <v/>
      </c>
      <c r="H115" s="14" t="str">
        <f>IF(A115="","",TRIM(Form_Raw_Data!G115))</f>
        <v/>
      </c>
      <c r="I115" s="15" t="str">
        <f t="shared" si="1"/>
        <v/>
      </c>
      <c r="J115" s="15" t="str">
        <f>IF(A115="","",IF(COUNTIF(Lists!$A$4:$A$53,C115)&gt;0,"YES","NO"))</f>
        <v/>
      </c>
      <c r="K115" s="15" t="str">
        <f>IF(A115="","",IF(COUNTIF(Lists!$I$4:$I$53,D115)&gt;0,"YES","NO"))</f>
        <v/>
      </c>
    </row>
    <row r="116" spans="1:11" x14ac:dyDescent="0.35">
      <c r="A116" s="12" t="str">
        <f>IF(Form_Raw_Data!A116="","",Form_Raw_Data!A116)</f>
        <v/>
      </c>
      <c r="B116" s="13" t="str">
        <f>IF(A116="","",Form_Raw_Data!B116)</f>
        <v/>
      </c>
      <c r="C116" s="14" t="str">
        <f>IF(A116="","",UPPER(TRIM(Form_Raw_Data!C116)))</f>
        <v/>
      </c>
      <c r="D116" s="14" t="str">
        <f>IF(A116="","",UPPER(TRIM(Form_Raw_Data!D116)))</f>
        <v/>
      </c>
      <c r="E116" s="14" t="str">
        <f>IF(A116="","",TRIM(Form_Raw_Data!E116))</f>
        <v/>
      </c>
      <c r="F116" s="12" t="str">
        <f>IF(A116="","",IF(Form_Raw_Data!F116="","",Form_Raw_Data!F116&amp;""))</f>
        <v/>
      </c>
      <c r="G116" s="14" t="str">
        <f>IF(A116="","",IF(ISNUMBER(Form_Raw_Data!F116),IF(AND(Form_Raw_Data!F116&gt;=0,Form_Raw_Data!F116&lt;=24),Form_Raw_Data!F116,""),""))</f>
        <v/>
      </c>
      <c r="H116" s="14" t="str">
        <f>IF(A116="","",TRIM(Form_Raw_Data!G116))</f>
        <v/>
      </c>
      <c r="I116" s="15" t="str">
        <f t="shared" si="1"/>
        <v/>
      </c>
      <c r="J116" s="15" t="str">
        <f>IF(A116="","",IF(COUNTIF(Lists!$A$4:$A$53,C116)&gt;0,"YES","NO"))</f>
        <v/>
      </c>
      <c r="K116" s="15" t="str">
        <f>IF(A116="","",IF(COUNTIF(Lists!$I$4:$I$53,D116)&gt;0,"YES","NO"))</f>
        <v/>
      </c>
    </row>
    <row r="117" spans="1:11" x14ac:dyDescent="0.35">
      <c r="A117" s="12" t="str">
        <f>IF(Form_Raw_Data!A117="","",Form_Raw_Data!A117)</f>
        <v/>
      </c>
      <c r="B117" s="13" t="str">
        <f>IF(A117="","",Form_Raw_Data!B117)</f>
        <v/>
      </c>
      <c r="C117" s="14" t="str">
        <f>IF(A117="","",UPPER(TRIM(Form_Raw_Data!C117)))</f>
        <v/>
      </c>
      <c r="D117" s="14" t="str">
        <f>IF(A117="","",UPPER(TRIM(Form_Raw_Data!D117)))</f>
        <v/>
      </c>
      <c r="E117" s="14" t="str">
        <f>IF(A117="","",TRIM(Form_Raw_Data!E117))</f>
        <v/>
      </c>
      <c r="F117" s="12" t="str">
        <f>IF(A117="","",IF(Form_Raw_Data!F117="","",Form_Raw_Data!F117&amp;""))</f>
        <v/>
      </c>
      <c r="G117" s="14" t="str">
        <f>IF(A117="","",IF(ISNUMBER(Form_Raw_Data!F117),IF(AND(Form_Raw_Data!F117&gt;=0,Form_Raw_Data!F117&lt;=24),Form_Raw_Data!F117,""),""))</f>
        <v/>
      </c>
      <c r="H117" s="14" t="str">
        <f>IF(A117="","",TRIM(Form_Raw_Data!G117))</f>
        <v/>
      </c>
      <c r="I117" s="15" t="str">
        <f t="shared" si="1"/>
        <v/>
      </c>
      <c r="J117" s="15" t="str">
        <f>IF(A117="","",IF(COUNTIF(Lists!$A$4:$A$53,C117)&gt;0,"YES","NO"))</f>
        <v/>
      </c>
      <c r="K117" s="15" t="str">
        <f>IF(A117="","",IF(COUNTIF(Lists!$I$4:$I$53,D117)&gt;0,"YES","NO"))</f>
        <v/>
      </c>
    </row>
    <row r="118" spans="1:11" x14ac:dyDescent="0.35">
      <c r="A118" s="12" t="str">
        <f>IF(Form_Raw_Data!A118="","",Form_Raw_Data!A118)</f>
        <v/>
      </c>
      <c r="B118" s="13" t="str">
        <f>IF(A118="","",Form_Raw_Data!B118)</f>
        <v/>
      </c>
      <c r="C118" s="14" t="str">
        <f>IF(A118="","",UPPER(TRIM(Form_Raw_Data!C118)))</f>
        <v/>
      </c>
      <c r="D118" s="14" t="str">
        <f>IF(A118="","",UPPER(TRIM(Form_Raw_Data!D118)))</f>
        <v/>
      </c>
      <c r="E118" s="14" t="str">
        <f>IF(A118="","",TRIM(Form_Raw_Data!E118))</f>
        <v/>
      </c>
      <c r="F118" s="12" t="str">
        <f>IF(A118="","",IF(Form_Raw_Data!F118="","",Form_Raw_Data!F118&amp;""))</f>
        <v/>
      </c>
      <c r="G118" s="14" t="str">
        <f>IF(A118="","",IF(ISNUMBER(Form_Raw_Data!F118),IF(AND(Form_Raw_Data!F118&gt;=0,Form_Raw_Data!F118&lt;=24),Form_Raw_Data!F118,""),""))</f>
        <v/>
      </c>
      <c r="H118" s="14" t="str">
        <f>IF(A118="","",TRIM(Form_Raw_Data!G118))</f>
        <v/>
      </c>
      <c r="I118" s="15" t="str">
        <f t="shared" si="1"/>
        <v/>
      </c>
      <c r="J118" s="15" t="str">
        <f>IF(A118="","",IF(COUNTIF(Lists!$A$4:$A$53,C118)&gt;0,"YES","NO"))</f>
        <v/>
      </c>
      <c r="K118" s="15" t="str">
        <f>IF(A118="","",IF(COUNTIF(Lists!$I$4:$I$53,D118)&gt;0,"YES","NO"))</f>
        <v/>
      </c>
    </row>
    <row r="119" spans="1:11" x14ac:dyDescent="0.35">
      <c r="A119" s="12" t="str">
        <f>IF(Form_Raw_Data!A119="","",Form_Raw_Data!A119)</f>
        <v/>
      </c>
      <c r="B119" s="13" t="str">
        <f>IF(A119="","",Form_Raw_Data!B119)</f>
        <v/>
      </c>
      <c r="C119" s="14" t="str">
        <f>IF(A119="","",UPPER(TRIM(Form_Raw_Data!C119)))</f>
        <v/>
      </c>
      <c r="D119" s="14" t="str">
        <f>IF(A119="","",UPPER(TRIM(Form_Raw_Data!D119)))</f>
        <v/>
      </c>
      <c r="E119" s="14" t="str">
        <f>IF(A119="","",TRIM(Form_Raw_Data!E119))</f>
        <v/>
      </c>
      <c r="F119" s="12" t="str">
        <f>IF(A119="","",IF(Form_Raw_Data!F119="","",Form_Raw_Data!F119&amp;""))</f>
        <v/>
      </c>
      <c r="G119" s="14" t="str">
        <f>IF(A119="","",IF(ISNUMBER(Form_Raw_Data!F119),IF(AND(Form_Raw_Data!F119&gt;=0,Form_Raw_Data!F119&lt;=24),Form_Raw_Data!F119,""),""))</f>
        <v/>
      </c>
      <c r="H119" s="14" t="str">
        <f>IF(A119="","",TRIM(Form_Raw_Data!G119))</f>
        <v/>
      </c>
      <c r="I119" s="15" t="str">
        <f t="shared" si="1"/>
        <v/>
      </c>
      <c r="J119" s="15" t="str">
        <f>IF(A119="","",IF(COUNTIF(Lists!$A$4:$A$53,C119)&gt;0,"YES","NO"))</f>
        <v/>
      </c>
      <c r="K119" s="15" t="str">
        <f>IF(A119="","",IF(COUNTIF(Lists!$I$4:$I$53,D119)&gt;0,"YES","NO"))</f>
        <v/>
      </c>
    </row>
    <row r="120" spans="1:11" x14ac:dyDescent="0.35">
      <c r="A120" s="12" t="str">
        <f>IF(Form_Raw_Data!A120="","",Form_Raw_Data!A120)</f>
        <v/>
      </c>
      <c r="B120" s="13" t="str">
        <f>IF(A120="","",Form_Raw_Data!B120)</f>
        <v/>
      </c>
      <c r="C120" s="14" t="str">
        <f>IF(A120="","",UPPER(TRIM(Form_Raw_Data!C120)))</f>
        <v/>
      </c>
      <c r="D120" s="14" t="str">
        <f>IF(A120="","",UPPER(TRIM(Form_Raw_Data!D120)))</f>
        <v/>
      </c>
      <c r="E120" s="14" t="str">
        <f>IF(A120="","",TRIM(Form_Raw_Data!E120))</f>
        <v/>
      </c>
      <c r="F120" s="12" t="str">
        <f>IF(A120="","",IF(Form_Raw_Data!F120="","",Form_Raw_Data!F120&amp;""))</f>
        <v/>
      </c>
      <c r="G120" s="14" t="str">
        <f>IF(A120="","",IF(ISNUMBER(Form_Raw_Data!F120),IF(AND(Form_Raw_Data!F120&gt;=0,Form_Raw_Data!F120&lt;=24),Form_Raw_Data!F120,""),""))</f>
        <v/>
      </c>
      <c r="H120" s="14" t="str">
        <f>IF(A120="","",TRIM(Form_Raw_Data!G120))</f>
        <v/>
      </c>
      <c r="I120" s="15" t="str">
        <f t="shared" si="1"/>
        <v/>
      </c>
      <c r="J120" s="15" t="str">
        <f>IF(A120="","",IF(COUNTIF(Lists!$A$4:$A$53,C120)&gt;0,"YES","NO"))</f>
        <v/>
      </c>
      <c r="K120" s="15" t="str">
        <f>IF(A120="","",IF(COUNTIF(Lists!$I$4:$I$53,D120)&gt;0,"YES","NO"))</f>
        <v/>
      </c>
    </row>
    <row r="121" spans="1:11" x14ac:dyDescent="0.35">
      <c r="A121" s="12" t="str">
        <f>IF(Form_Raw_Data!A121="","",Form_Raw_Data!A121)</f>
        <v/>
      </c>
      <c r="B121" s="13" t="str">
        <f>IF(A121="","",Form_Raw_Data!B121)</f>
        <v/>
      </c>
      <c r="C121" s="14" t="str">
        <f>IF(A121="","",UPPER(TRIM(Form_Raw_Data!C121)))</f>
        <v/>
      </c>
      <c r="D121" s="14" t="str">
        <f>IF(A121="","",UPPER(TRIM(Form_Raw_Data!D121)))</f>
        <v/>
      </c>
      <c r="E121" s="14" t="str">
        <f>IF(A121="","",TRIM(Form_Raw_Data!E121))</f>
        <v/>
      </c>
      <c r="F121" s="12" t="str">
        <f>IF(A121="","",IF(Form_Raw_Data!F121="","",Form_Raw_Data!F121&amp;""))</f>
        <v/>
      </c>
      <c r="G121" s="14" t="str">
        <f>IF(A121="","",IF(ISNUMBER(Form_Raw_Data!F121),IF(AND(Form_Raw_Data!F121&gt;=0,Form_Raw_Data!F121&lt;=24),Form_Raw_Data!F121,""),""))</f>
        <v/>
      </c>
      <c r="H121" s="14" t="str">
        <f>IF(A121="","",TRIM(Form_Raw_Data!G121))</f>
        <v/>
      </c>
      <c r="I121" s="15" t="str">
        <f t="shared" si="1"/>
        <v/>
      </c>
      <c r="J121" s="15" t="str">
        <f>IF(A121="","",IF(COUNTIF(Lists!$A$4:$A$53,C121)&gt;0,"YES","NO"))</f>
        <v/>
      </c>
      <c r="K121" s="15" t="str">
        <f>IF(A121="","",IF(COUNTIF(Lists!$I$4:$I$53,D121)&gt;0,"YES","NO"))</f>
        <v/>
      </c>
    </row>
    <row r="122" spans="1:11" x14ac:dyDescent="0.35">
      <c r="A122" s="12" t="str">
        <f>IF(Form_Raw_Data!A122="","",Form_Raw_Data!A122)</f>
        <v/>
      </c>
      <c r="B122" s="13" t="str">
        <f>IF(A122="","",Form_Raw_Data!B122)</f>
        <v/>
      </c>
      <c r="C122" s="14" t="str">
        <f>IF(A122="","",UPPER(TRIM(Form_Raw_Data!C122)))</f>
        <v/>
      </c>
      <c r="D122" s="14" t="str">
        <f>IF(A122="","",UPPER(TRIM(Form_Raw_Data!D122)))</f>
        <v/>
      </c>
      <c r="E122" s="14" t="str">
        <f>IF(A122="","",TRIM(Form_Raw_Data!E122))</f>
        <v/>
      </c>
      <c r="F122" s="12" t="str">
        <f>IF(A122="","",IF(Form_Raw_Data!F122="","",Form_Raw_Data!F122&amp;""))</f>
        <v/>
      </c>
      <c r="G122" s="14" t="str">
        <f>IF(A122="","",IF(ISNUMBER(Form_Raw_Data!F122),IF(AND(Form_Raw_Data!F122&gt;=0,Form_Raw_Data!F122&lt;=24),Form_Raw_Data!F122,""),""))</f>
        <v/>
      </c>
      <c r="H122" s="14" t="str">
        <f>IF(A122="","",TRIM(Form_Raw_Data!G122))</f>
        <v/>
      </c>
      <c r="I122" s="15" t="str">
        <f t="shared" si="1"/>
        <v/>
      </c>
      <c r="J122" s="15" t="str">
        <f>IF(A122="","",IF(COUNTIF(Lists!$A$4:$A$53,C122)&gt;0,"YES","NO"))</f>
        <v/>
      </c>
      <c r="K122" s="15" t="str">
        <f>IF(A122="","",IF(COUNTIF(Lists!$I$4:$I$53,D122)&gt;0,"YES","NO"))</f>
        <v/>
      </c>
    </row>
    <row r="123" spans="1:11" x14ac:dyDescent="0.35">
      <c r="A123" s="12" t="str">
        <f>IF(Form_Raw_Data!A123="","",Form_Raw_Data!A123)</f>
        <v/>
      </c>
      <c r="B123" s="13" t="str">
        <f>IF(A123="","",Form_Raw_Data!B123)</f>
        <v/>
      </c>
      <c r="C123" s="14" t="str">
        <f>IF(A123="","",UPPER(TRIM(Form_Raw_Data!C123)))</f>
        <v/>
      </c>
      <c r="D123" s="14" t="str">
        <f>IF(A123="","",UPPER(TRIM(Form_Raw_Data!D123)))</f>
        <v/>
      </c>
      <c r="E123" s="14" t="str">
        <f>IF(A123="","",TRIM(Form_Raw_Data!E123))</f>
        <v/>
      </c>
      <c r="F123" s="12" t="str">
        <f>IF(A123="","",IF(Form_Raw_Data!F123="","",Form_Raw_Data!F123&amp;""))</f>
        <v/>
      </c>
      <c r="G123" s="14" t="str">
        <f>IF(A123="","",IF(ISNUMBER(Form_Raw_Data!F123),IF(AND(Form_Raw_Data!F123&gt;=0,Form_Raw_Data!F123&lt;=24),Form_Raw_Data!F123,""),""))</f>
        <v/>
      </c>
      <c r="H123" s="14" t="str">
        <f>IF(A123="","",TRIM(Form_Raw_Data!G123))</f>
        <v/>
      </c>
      <c r="I123" s="15" t="str">
        <f t="shared" si="1"/>
        <v/>
      </c>
      <c r="J123" s="15" t="str">
        <f>IF(A123="","",IF(COUNTIF(Lists!$A$4:$A$53,C123)&gt;0,"YES","NO"))</f>
        <v/>
      </c>
      <c r="K123" s="15" t="str">
        <f>IF(A123="","",IF(COUNTIF(Lists!$I$4:$I$53,D123)&gt;0,"YES","NO"))</f>
        <v/>
      </c>
    </row>
    <row r="124" spans="1:11" x14ac:dyDescent="0.35">
      <c r="A124" s="12" t="str">
        <f>IF(Form_Raw_Data!A124="","",Form_Raw_Data!A124)</f>
        <v/>
      </c>
      <c r="B124" s="13" t="str">
        <f>IF(A124="","",Form_Raw_Data!B124)</f>
        <v/>
      </c>
      <c r="C124" s="14" t="str">
        <f>IF(A124="","",UPPER(TRIM(Form_Raw_Data!C124)))</f>
        <v/>
      </c>
      <c r="D124" s="14" t="str">
        <f>IF(A124="","",UPPER(TRIM(Form_Raw_Data!D124)))</f>
        <v/>
      </c>
      <c r="E124" s="14" t="str">
        <f>IF(A124="","",TRIM(Form_Raw_Data!E124))</f>
        <v/>
      </c>
      <c r="F124" s="12" t="str">
        <f>IF(A124="","",IF(Form_Raw_Data!F124="","",Form_Raw_Data!F124&amp;""))</f>
        <v/>
      </c>
      <c r="G124" s="14" t="str">
        <f>IF(A124="","",IF(ISNUMBER(Form_Raw_Data!F124),IF(AND(Form_Raw_Data!F124&gt;=0,Form_Raw_Data!F124&lt;=24),Form_Raw_Data!F124,""),""))</f>
        <v/>
      </c>
      <c r="H124" s="14" t="str">
        <f>IF(A124="","",TRIM(Form_Raw_Data!G124))</f>
        <v/>
      </c>
      <c r="I124" s="15" t="str">
        <f t="shared" si="1"/>
        <v/>
      </c>
      <c r="J124" s="15" t="str">
        <f>IF(A124="","",IF(COUNTIF(Lists!$A$4:$A$53,C124)&gt;0,"YES","NO"))</f>
        <v/>
      </c>
      <c r="K124" s="15" t="str">
        <f>IF(A124="","",IF(COUNTIF(Lists!$I$4:$I$53,D124)&gt;0,"YES","NO"))</f>
        <v/>
      </c>
    </row>
    <row r="125" spans="1:11" x14ac:dyDescent="0.35">
      <c r="A125" s="12" t="str">
        <f>IF(Form_Raw_Data!A125="","",Form_Raw_Data!A125)</f>
        <v/>
      </c>
      <c r="B125" s="13" t="str">
        <f>IF(A125="","",Form_Raw_Data!B125)</f>
        <v/>
      </c>
      <c r="C125" s="14" t="str">
        <f>IF(A125="","",UPPER(TRIM(Form_Raw_Data!C125)))</f>
        <v/>
      </c>
      <c r="D125" s="14" t="str">
        <f>IF(A125="","",UPPER(TRIM(Form_Raw_Data!D125)))</f>
        <v/>
      </c>
      <c r="E125" s="14" t="str">
        <f>IF(A125="","",TRIM(Form_Raw_Data!E125))</f>
        <v/>
      </c>
      <c r="F125" s="12" t="str">
        <f>IF(A125="","",IF(Form_Raw_Data!F125="","",Form_Raw_Data!F125&amp;""))</f>
        <v/>
      </c>
      <c r="G125" s="14" t="str">
        <f>IF(A125="","",IF(ISNUMBER(Form_Raw_Data!F125),IF(AND(Form_Raw_Data!F125&gt;=0,Form_Raw_Data!F125&lt;=24),Form_Raw_Data!F125,""),""))</f>
        <v/>
      </c>
      <c r="H125" s="14" t="str">
        <f>IF(A125="","",TRIM(Form_Raw_Data!G125))</f>
        <v/>
      </c>
      <c r="I125" s="15" t="str">
        <f t="shared" si="1"/>
        <v/>
      </c>
      <c r="J125" s="15" t="str">
        <f>IF(A125="","",IF(COUNTIF(Lists!$A$4:$A$53,C125)&gt;0,"YES","NO"))</f>
        <v/>
      </c>
      <c r="K125" s="15" t="str">
        <f>IF(A125="","",IF(COUNTIF(Lists!$I$4:$I$53,D125)&gt;0,"YES","NO"))</f>
        <v/>
      </c>
    </row>
    <row r="126" spans="1:11" x14ac:dyDescent="0.35">
      <c r="A126" s="12" t="str">
        <f>IF(Form_Raw_Data!A126="","",Form_Raw_Data!A126)</f>
        <v/>
      </c>
      <c r="B126" s="13" t="str">
        <f>IF(A126="","",Form_Raw_Data!B126)</f>
        <v/>
      </c>
      <c r="C126" s="14" t="str">
        <f>IF(A126="","",UPPER(TRIM(Form_Raw_Data!C126)))</f>
        <v/>
      </c>
      <c r="D126" s="14" t="str">
        <f>IF(A126="","",UPPER(TRIM(Form_Raw_Data!D126)))</f>
        <v/>
      </c>
      <c r="E126" s="14" t="str">
        <f>IF(A126="","",TRIM(Form_Raw_Data!E126))</f>
        <v/>
      </c>
      <c r="F126" s="12" t="str">
        <f>IF(A126="","",IF(Form_Raw_Data!F126="","",Form_Raw_Data!F126&amp;""))</f>
        <v/>
      </c>
      <c r="G126" s="14" t="str">
        <f>IF(A126="","",IF(ISNUMBER(Form_Raw_Data!F126),IF(AND(Form_Raw_Data!F126&gt;=0,Form_Raw_Data!F126&lt;=24),Form_Raw_Data!F126,""),""))</f>
        <v/>
      </c>
      <c r="H126" s="14" t="str">
        <f>IF(A126="","",TRIM(Form_Raw_Data!G126))</f>
        <v/>
      </c>
      <c r="I126" s="15" t="str">
        <f t="shared" si="1"/>
        <v/>
      </c>
      <c r="J126" s="15" t="str">
        <f>IF(A126="","",IF(COUNTIF(Lists!$A$4:$A$53,C126)&gt;0,"YES","NO"))</f>
        <v/>
      </c>
      <c r="K126" s="15" t="str">
        <f>IF(A126="","",IF(COUNTIF(Lists!$I$4:$I$53,D126)&gt;0,"YES","NO"))</f>
        <v/>
      </c>
    </row>
    <row r="127" spans="1:11" x14ac:dyDescent="0.35">
      <c r="A127" s="12" t="str">
        <f>IF(Form_Raw_Data!A127="","",Form_Raw_Data!A127)</f>
        <v/>
      </c>
      <c r="B127" s="13" t="str">
        <f>IF(A127="","",Form_Raw_Data!B127)</f>
        <v/>
      </c>
      <c r="C127" s="14" t="str">
        <f>IF(A127="","",UPPER(TRIM(Form_Raw_Data!C127)))</f>
        <v/>
      </c>
      <c r="D127" s="14" t="str">
        <f>IF(A127="","",UPPER(TRIM(Form_Raw_Data!D127)))</f>
        <v/>
      </c>
      <c r="E127" s="14" t="str">
        <f>IF(A127="","",TRIM(Form_Raw_Data!E127))</f>
        <v/>
      </c>
      <c r="F127" s="12" t="str">
        <f>IF(A127="","",IF(Form_Raw_Data!F127="","",Form_Raw_Data!F127&amp;""))</f>
        <v/>
      </c>
      <c r="G127" s="14" t="str">
        <f>IF(A127="","",IF(ISNUMBER(Form_Raw_Data!F127),IF(AND(Form_Raw_Data!F127&gt;=0,Form_Raw_Data!F127&lt;=24),Form_Raw_Data!F127,""),""))</f>
        <v/>
      </c>
      <c r="H127" s="14" t="str">
        <f>IF(A127="","",TRIM(Form_Raw_Data!G127))</f>
        <v/>
      </c>
      <c r="I127" s="15" t="str">
        <f t="shared" si="1"/>
        <v/>
      </c>
      <c r="J127" s="15" t="str">
        <f>IF(A127="","",IF(COUNTIF(Lists!$A$4:$A$53,C127)&gt;0,"YES","NO"))</f>
        <v/>
      </c>
      <c r="K127" s="15" t="str">
        <f>IF(A127="","",IF(COUNTIF(Lists!$I$4:$I$53,D127)&gt;0,"YES","NO"))</f>
        <v/>
      </c>
    </row>
    <row r="128" spans="1:11" x14ac:dyDescent="0.35">
      <c r="A128" s="12" t="str">
        <f>IF(Form_Raw_Data!A128="","",Form_Raw_Data!A128)</f>
        <v/>
      </c>
      <c r="B128" s="13" t="str">
        <f>IF(A128="","",Form_Raw_Data!B128)</f>
        <v/>
      </c>
      <c r="C128" s="14" t="str">
        <f>IF(A128="","",UPPER(TRIM(Form_Raw_Data!C128)))</f>
        <v/>
      </c>
      <c r="D128" s="14" t="str">
        <f>IF(A128="","",UPPER(TRIM(Form_Raw_Data!D128)))</f>
        <v/>
      </c>
      <c r="E128" s="14" t="str">
        <f>IF(A128="","",TRIM(Form_Raw_Data!E128))</f>
        <v/>
      </c>
      <c r="F128" s="12" t="str">
        <f>IF(A128="","",IF(Form_Raw_Data!F128="","",Form_Raw_Data!F128&amp;""))</f>
        <v/>
      </c>
      <c r="G128" s="14" t="str">
        <f>IF(A128="","",IF(ISNUMBER(Form_Raw_Data!F128),IF(AND(Form_Raw_Data!F128&gt;=0,Form_Raw_Data!F128&lt;=24),Form_Raw_Data!F128,""),""))</f>
        <v/>
      </c>
      <c r="H128" s="14" t="str">
        <f>IF(A128="","",TRIM(Form_Raw_Data!G128))</f>
        <v/>
      </c>
      <c r="I128" s="15" t="str">
        <f t="shared" si="1"/>
        <v/>
      </c>
      <c r="J128" s="15" t="str">
        <f>IF(A128="","",IF(COUNTIF(Lists!$A$4:$A$53,C128)&gt;0,"YES","NO"))</f>
        <v/>
      </c>
      <c r="K128" s="15" t="str">
        <f>IF(A128="","",IF(COUNTIF(Lists!$I$4:$I$53,D128)&gt;0,"YES","NO"))</f>
        <v/>
      </c>
    </row>
    <row r="129" spans="1:11" x14ac:dyDescent="0.35">
      <c r="A129" s="12" t="str">
        <f>IF(Form_Raw_Data!A129="","",Form_Raw_Data!A129)</f>
        <v/>
      </c>
      <c r="B129" s="13" t="str">
        <f>IF(A129="","",Form_Raw_Data!B129)</f>
        <v/>
      </c>
      <c r="C129" s="14" t="str">
        <f>IF(A129="","",UPPER(TRIM(Form_Raw_Data!C129)))</f>
        <v/>
      </c>
      <c r="D129" s="14" t="str">
        <f>IF(A129="","",UPPER(TRIM(Form_Raw_Data!D129)))</f>
        <v/>
      </c>
      <c r="E129" s="14" t="str">
        <f>IF(A129="","",TRIM(Form_Raw_Data!E129))</f>
        <v/>
      </c>
      <c r="F129" s="12" t="str">
        <f>IF(A129="","",IF(Form_Raw_Data!F129="","",Form_Raw_Data!F129&amp;""))</f>
        <v/>
      </c>
      <c r="G129" s="14" t="str">
        <f>IF(A129="","",IF(ISNUMBER(Form_Raw_Data!F129),IF(AND(Form_Raw_Data!F129&gt;=0,Form_Raw_Data!F129&lt;=24),Form_Raw_Data!F129,""),""))</f>
        <v/>
      </c>
      <c r="H129" s="14" t="str">
        <f>IF(A129="","",TRIM(Form_Raw_Data!G129))</f>
        <v/>
      </c>
      <c r="I129" s="15" t="str">
        <f t="shared" si="1"/>
        <v/>
      </c>
      <c r="J129" s="15" t="str">
        <f>IF(A129="","",IF(COUNTIF(Lists!$A$4:$A$53,C129)&gt;0,"YES","NO"))</f>
        <v/>
      </c>
      <c r="K129" s="15" t="str">
        <f>IF(A129="","",IF(COUNTIF(Lists!$I$4:$I$53,D129)&gt;0,"YES","NO"))</f>
        <v/>
      </c>
    </row>
    <row r="130" spans="1:11" x14ac:dyDescent="0.35">
      <c r="A130" s="12" t="str">
        <f>IF(Form_Raw_Data!A130="","",Form_Raw_Data!A130)</f>
        <v/>
      </c>
      <c r="B130" s="13" t="str">
        <f>IF(A130="","",Form_Raw_Data!B130)</f>
        <v/>
      </c>
      <c r="C130" s="14" t="str">
        <f>IF(A130="","",UPPER(TRIM(Form_Raw_Data!C130)))</f>
        <v/>
      </c>
      <c r="D130" s="14" t="str">
        <f>IF(A130="","",UPPER(TRIM(Form_Raw_Data!D130)))</f>
        <v/>
      </c>
      <c r="E130" s="14" t="str">
        <f>IF(A130="","",TRIM(Form_Raw_Data!E130))</f>
        <v/>
      </c>
      <c r="F130" s="12" t="str">
        <f>IF(A130="","",IF(Form_Raw_Data!F130="","",Form_Raw_Data!F130&amp;""))</f>
        <v/>
      </c>
      <c r="G130" s="14" t="str">
        <f>IF(A130="","",IF(ISNUMBER(Form_Raw_Data!F130),IF(AND(Form_Raw_Data!F130&gt;=0,Form_Raw_Data!F130&lt;=24),Form_Raw_Data!F130,""),""))</f>
        <v/>
      </c>
      <c r="H130" s="14" t="str">
        <f>IF(A130="","",TRIM(Form_Raw_Data!G130))</f>
        <v/>
      </c>
      <c r="I130" s="15" t="str">
        <f t="shared" si="1"/>
        <v/>
      </c>
      <c r="J130" s="15" t="str">
        <f>IF(A130="","",IF(COUNTIF(Lists!$A$4:$A$53,C130)&gt;0,"YES","NO"))</f>
        <v/>
      </c>
      <c r="K130" s="15" t="str">
        <f>IF(A130="","",IF(COUNTIF(Lists!$I$4:$I$53,D130)&gt;0,"YES","NO"))</f>
        <v/>
      </c>
    </row>
    <row r="131" spans="1:11" x14ac:dyDescent="0.35">
      <c r="A131" s="12" t="str">
        <f>IF(Form_Raw_Data!A131="","",Form_Raw_Data!A131)</f>
        <v/>
      </c>
      <c r="B131" s="13" t="str">
        <f>IF(A131="","",Form_Raw_Data!B131)</f>
        <v/>
      </c>
      <c r="C131" s="14" t="str">
        <f>IF(A131="","",UPPER(TRIM(Form_Raw_Data!C131)))</f>
        <v/>
      </c>
      <c r="D131" s="14" t="str">
        <f>IF(A131="","",UPPER(TRIM(Form_Raw_Data!D131)))</f>
        <v/>
      </c>
      <c r="E131" s="14" t="str">
        <f>IF(A131="","",TRIM(Form_Raw_Data!E131))</f>
        <v/>
      </c>
      <c r="F131" s="12" t="str">
        <f>IF(A131="","",IF(Form_Raw_Data!F131="","",Form_Raw_Data!F131&amp;""))</f>
        <v/>
      </c>
      <c r="G131" s="14" t="str">
        <f>IF(A131="","",IF(ISNUMBER(Form_Raw_Data!F131),IF(AND(Form_Raw_Data!F131&gt;=0,Form_Raw_Data!F131&lt;=24),Form_Raw_Data!F131,""),""))</f>
        <v/>
      </c>
      <c r="H131" s="14" t="str">
        <f>IF(A131="","",TRIM(Form_Raw_Data!G131))</f>
        <v/>
      </c>
      <c r="I131" s="15" t="str">
        <f t="shared" si="1"/>
        <v/>
      </c>
      <c r="J131" s="15" t="str">
        <f>IF(A131="","",IF(COUNTIF(Lists!$A$4:$A$53,C131)&gt;0,"YES","NO"))</f>
        <v/>
      </c>
      <c r="K131" s="15" t="str">
        <f>IF(A131="","",IF(COUNTIF(Lists!$I$4:$I$53,D131)&gt;0,"YES","NO"))</f>
        <v/>
      </c>
    </row>
    <row r="132" spans="1:11" x14ac:dyDescent="0.35">
      <c r="A132" s="12" t="str">
        <f>IF(Form_Raw_Data!A132="","",Form_Raw_Data!A132)</f>
        <v/>
      </c>
      <c r="B132" s="13" t="str">
        <f>IF(A132="","",Form_Raw_Data!B132)</f>
        <v/>
      </c>
      <c r="C132" s="14" t="str">
        <f>IF(A132="","",UPPER(TRIM(Form_Raw_Data!C132)))</f>
        <v/>
      </c>
      <c r="D132" s="14" t="str">
        <f>IF(A132="","",UPPER(TRIM(Form_Raw_Data!D132)))</f>
        <v/>
      </c>
      <c r="E132" s="14" t="str">
        <f>IF(A132="","",TRIM(Form_Raw_Data!E132))</f>
        <v/>
      </c>
      <c r="F132" s="12" t="str">
        <f>IF(A132="","",IF(Form_Raw_Data!F132="","",Form_Raw_Data!F132&amp;""))</f>
        <v/>
      </c>
      <c r="G132" s="14" t="str">
        <f>IF(A132="","",IF(ISNUMBER(Form_Raw_Data!F132),IF(AND(Form_Raw_Data!F132&gt;=0,Form_Raw_Data!F132&lt;=24),Form_Raw_Data!F132,""),""))</f>
        <v/>
      </c>
      <c r="H132" s="14" t="str">
        <f>IF(A132="","",TRIM(Form_Raw_Data!G132))</f>
        <v/>
      </c>
      <c r="I132" s="15" t="str">
        <f t="shared" ref="I132:I195" si="2">IF(A132="","",IF(OR(C132="",D132="",E132="",H132="",G132=""),"ERROR","OK"))</f>
        <v/>
      </c>
      <c r="J132" s="15" t="str">
        <f>IF(A132="","",IF(COUNTIF(Lists!$A$4:$A$53,C132)&gt;0,"YES","NO"))</f>
        <v/>
      </c>
      <c r="K132" s="15" t="str">
        <f>IF(A132="","",IF(COUNTIF(Lists!$I$4:$I$53,D132)&gt;0,"YES","NO"))</f>
        <v/>
      </c>
    </row>
    <row r="133" spans="1:11" x14ac:dyDescent="0.35">
      <c r="A133" s="12" t="str">
        <f>IF(Form_Raw_Data!A133="","",Form_Raw_Data!A133)</f>
        <v/>
      </c>
      <c r="B133" s="13" t="str">
        <f>IF(A133="","",Form_Raw_Data!B133)</f>
        <v/>
      </c>
      <c r="C133" s="14" t="str">
        <f>IF(A133="","",UPPER(TRIM(Form_Raw_Data!C133)))</f>
        <v/>
      </c>
      <c r="D133" s="14" t="str">
        <f>IF(A133="","",UPPER(TRIM(Form_Raw_Data!D133)))</f>
        <v/>
      </c>
      <c r="E133" s="14" t="str">
        <f>IF(A133="","",TRIM(Form_Raw_Data!E133))</f>
        <v/>
      </c>
      <c r="F133" s="12" t="str">
        <f>IF(A133="","",IF(Form_Raw_Data!F133="","",Form_Raw_Data!F133&amp;""))</f>
        <v/>
      </c>
      <c r="G133" s="14" t="str">
        <f>IF(A133="","",IF(ISNUMBER(Form_Raw_Data!F133),IF(AND(Form_Raw_Data!F133&gt;=0,Form_Raw_Data!F133&lt;=24),Form_Raw_Data!F133,""),""))</f>
        <v/>
      </c>
      <c r="H133" s="14" t="str">
        <f>IF(A133="","",TRIM(Form_Raw_Data!G133))</f>
        <v/>
      </c>
      <c r="I133" s="15" t="str">
        <f t="shared" si="2"/>
        <v/>
      </c>
      <c r="J133" s="15" t="str">
        <f>IF(A133="","",IF(COUNTIF(Lists!$A$4:$A$53,C133)&gt;0,"YES","NO"))</f>
        <v/>
      </c>
      <c r="K133" s="15" t="str">
        <f>IF(A133="","",IF(COUNTIF(Lists!$I$4:$I$53,D133)&gt;0,"YES","NO"))</f>
        <v/>
      </c>
    </row>
    <row r="134" spans="1:11" x14ac:dyDescent="0.35">
      <c r="A134" s="12" t="str">
        <f>IF(Form_Raw_Data!A134="","",Form_Raw_Data!A134)</f>
        <v/>
      </c>
      <c r="B134" s="13" t="str">
        <f>IF(A134="","",Form_Raw_Data!B134)</f>
        <v/>
      </c>
      <c r="C134" s="14" t="str">
        <f>IF(A134="","",UPPER(TRIM(Form_Raw_Data!C134)))</f>
        <v/>
      </c>
      <c r="D134" s="14" t="str">
        <f>IF(A134="","",UPPER(TRIM(Form_Raw_Data!D134)))</f>
        <v/>
      </c>
      <c r="E134" s="14" t="str">
        <f>IF(A134="","",TRIM(Form_Raw_Data!E134))</f>
        <v/>
      </c>
      <c r="F134" s="12" t="str">
        <f>IF(A134="","",IF(Form_Raw_Data!F134="","",Form_Raw_Data!F134&amp;""))</f>
        <v/>
      </c>
      <c r="G134" s="14" t="str">
        <f>IF(A134="","",IF(ISNUMBER(Form_Raw_Data!F134),IF(AND(Form_Raw_Data!F134&gt;=0,Form_Raw_Data!F134&lt;=24),Form_Raw_Data!F134,""),""))</f>
        <v/>
      </c>
      <c r="H134" s="14" t="str">
        <f>IF(A134="","",TRIM(Form_Raw_Data!G134))</f>
        <v/>
      </c>
      <c r="I134" s="15" t="str">
        <f t="shared" si="2"/>
        <v/>
      </c>
      <c r="J134" s="15" t="str">
        <f>IF(A134="","",IF(COUNTIF(Lists!$A$4:$A$53,C134)&gt;0,"YES","NO"))</f>
        <v/>
      </c>
      <c r="K134" s="15" t="str">
        <f>IF(A134="","",IF(COUNTIF(Lists!$I$4:$I$53,D134)&gt;0,"YES","NO"))</f>
        <v/>
      </c>
    </row>
    <row r="135" spans="1:11" x14ac:dyDescent="0.35">
      <c r="A135" s="12" t="str">
        <f>IF(Form_Raw_Data!A135="","",Form_Raw_Data!A135)</f>
        <v/>
      </c>
      <c r="B135" s="13" t="str">
        <f>IF(A135="","",Form_Raw_Data!B135)</f>
        <v/>
      </c>
      <c r="C135" s="14" t="str">
        <f>IF(A135="","",UPPER(TRIM(Form_Raw_Data!C135)))</f>
        <v/>
      </c>
      <c r="D135" s="14" t="str">
        <f>IF(A135="","",UPPER(TRIM(Form_Raw_Data!D135)))</f>
        <v/>
      </c>
      <c r="E135" s="14" t="str">
        <f>IF(A135="","",TRIM(Form_Raw_Data!E135))</f>
        <v/>
      </c>
      <c r="F135" s="12" t="str">
        <f>IF(A135="","",IF(Form_Raw_Data!F135="","",Form_Raw_Data!F135&amp;""))</f>
        <v/>
      </c>
      <c r="G135" s="14" t="str">
        <f>IF(A135="","",IF(ISNUMBER(Form_Raw_Data!F135),IF(AND(Form_Raw_Data!F135&gt;=0,Form_Raw_Data!F135&lt;=24),Form_Raw_Data!F135,""),""))</f>
        <v/>
      </c>
      <c r="H135" s="14" t="str">
        <f>IF(A135="","",TRIM(Form_Raw_Data!G135))</f>
        <v/>
      </c>
      <c r="I135" s="15" t="str">
        <f t="shared" si="2"/>
        <v/>
      </c>
      <c r="J135" s="15" t="str">
        <f>IF(A135="","",IF(COUNTIF(Lists!$A$4:$A$53,C135)&gt;0,"YES","NO"))</f>
        <v/>
      </c>
      <c r="K135" s="15" t="str">
        <f>IF(A135="","",IF(COUNTIF(Lists!$I$4:$I$53,D135)&gt;0,"YES","NO"))</f>
        <v/>
      </c>
    </row>
    <row r="136" spans="1:11" x14ac:dyDescent="0.35">
      <c r="A136" s="12" t="str">
        <f>IF(Form_Raw_Data!A136="","",Form_Raw_Data!A136)</f>
        <v/>
      </c>
      <c r="B136" s="13" t="str">
        <f>IF(A136="","",Form_Raw_Data!B136)</f>
        <v/>
      </c>
      <c r="C136" s="14" t="str">
        <f>IF(A136="","",UPPER(TRIM(Form_Raw_Data!C136)))</f>
        <v/>
      </c>
      <c r="D136" s="14" t="str">
        <f>IF(A136="","",UPPER(TRIM(Form_Raw_Data!D136)))</f>
        <v/>
      </c>
      <c r="E136" s="14" t="str">
        <f>IF(A136="","",TRIM(Form_Raw_Data!E136))</f>
        <v/>
      </c>
      <c r="F136" s="12" t="str">
        <f>IF(A136="","",IF(Form_Raw_Data!F136="","",Form_Raw_Data!F136&amp;""))</f>
        <v/>
      </c>
      <c r="G136" s="14" t="str">
        <f>IF(A136="","",IF(ISNUMBER(Form_Raw_Data!F136),IF(AND(Form_Raw_Data!F136&gt;=0,Form_Raw_Data!F136&lt;=24),Form_Raw_Data!F136,""),""))</f>
        <v/>
      </c>
      <c r="H136" s="14" t="str">
        <f>IF(A136="","",TRIM(Form_Raw_Data!G136))</f>
        <v/>
      </c>
      <c r="I136" s="15" t="str">
        <f t="shared" si="2"/>
        <v/>
      </c>
      <c r="J136" s="15" t="str">
        <f>IF(A136="","",IF(COUNTIF(Lists!$A$4:$A$53,C136)&gt;0,"YES","NO"))</f>
        <v/>
      </c>
      <c r="K136" s="15" t="str">
        <f>IF(A136="","",IF(COUNTIF(Lists!$I$4:$I$53,D136)&gt;0,"YES","NO"))</f>
        <v/>
      </c>
    </row>
    <row r="137" spans="1:11" x14ac:dyDescent="0.35">
      <c r="A137" s="12" t="str">
        <f>IF(Form_Raw_Data!A137="","",Form_Raw_Data!A137)</f>
        <v/>
      </c>
      <c r="B137" s="13" t="str">
        <f>IF(A137="","",Form_Raw_Data!B137)</f>
        <v/>
      </c>
      <c r="C137" s="14" t="str">
        <f>IF(A137="","",UPPER(TRIM(Form_Raw_Data!C137)))</f>
        <v/>
      </c>
      <c r="D137" s="14" t="str">
        <f>IF(A137="","",UPPER(TRIM(Form_Raw_Data!D137)))</f>
        <v/>
      </c>
      <c r="E137" s="14" t="str">
        <f>IF(A137="","",TRIM(Form_Raw_Data!E137))</f>
        <v/>
      </c>
      <c r="F137" s="12" t="str">
        <f>IF(A137="","",IF(Form_Raw_Data!F137="","",Form_Raw_Data!F137&amp;""))</f>
        <v/>
      </c>
      <c r="G137" s="14" t="str">
        <f>IF(A137="","",IF(ISNUMBER(Form_Raw_Data!F137),IF(AND(Form_Raw_Data!F137&gt;=0,Form_Raw_Data!F137&lt;=24),Form_Raw_Data!F137,""),""))</f>
        <v/>
      </c>
      <c r="H137" s="14" t="str">
        <f>IF(A137="","",TRIM(Form_Raw_Data!G137))</f>
        <v/>
      </c>
      <c r="I137" s="15" t="str">
        <f t="shared" si="2"/>
        <v/>
      </c>
      <c r="J137" s="15" t="str">
        <f>IF(A137="","",IF(COUNTIF(Lists!$A$4:$A$53,C137)&gt;0,"YES","NO"))</f>
        <v/>
      </c>
      <c r="K137" s="15" t="str">
        <f>IF(A137="","",IF(COUNTIF(Lists!$I$4:$I$53,D137)&gt;0,"YES","NO"))</f>
        <v/>
      </c>
    </row>
    <row r="138" spans="1:11" x14ac:dyDescent="0.35">
      <c r="A138" s="12" t="str">
        <f>IF(Form_Raw_Data!A138="","",Form_Raw_Data!A138)</f>
        <v/>
      </c>
      <c r="B138" s="13" t="str">
        <f>IF(A138="","",Form_Raw_Data!B138)</f>
        <v/>
      </c>
      <c r="C138" s="14" t="str">
        <f>IF(A138="","",UPPER(TRIM(Form_Raw_Data!C138)))</f>
        <v/>
      </c>
      <c r="D138" s="14" t="str">
        <f>IF(A138="","",UPPER(TRIM(Form_Raw_Data!D138)))</f>
        <v/>
      </c>
      <c r="E138" s="14" t="str">
        <f>IF(A138="","",TRIM(Form_Raw_Data!E138))</f>
        <v/>
      </c>
      <c r="F138" s="12" t="str">
        <f>IF(A138="","",IF(Form_Raw_Data!F138="","",Form_Raw_Data!F138&amp;""))</f>
        <v/>
      </c>
      <c r="G138" s="14" t="str">
        <f>IF(A138="","",IF(ISNUMBER(Form_Raw_Data!F138),IF(AND(Form_Raw_Data!F138&gt;=0,Form_Raw_Data!F138&lt;=24),Form_Raw_Data!F138,""),""))</f>
        <v/>
      </c>
      <c r="H138" s="14" t="str">
        <f>IF(A138="","",TRIM(Form_Raw_Data!G138))</f>
        <v/>
      </c>
      <c r="I138" s="15" t="str">
        <f t="shared" si="2"/>
        <v/>
      </c>
      <c r="J138" s="15" t="str">
        <f>IF(A138="","",IF(COUNTIF(Lists!$A$4:$A$53,C138)&gt;0,"YES","NO"))</f>
        <v/>
      </c>
      <c r="K138" s="15" t="str">
        <f>IF(A138="","",IF(COUNTIF(Lists!$I$4:$I$53,D138)&gt;0,"YES","NO"))</f>
        <v/>
      </c>
    </row>
    <row r="139" spans="1:11" x14ac:dyDescent="0.35">
      <c r="A139" s="12" t="str">
        <f>IF(Form_Raw_Data!A139="","",Form_Raw_Data!A139)</f>
        <v/>
      </c>
      <c r="B139" s="13" t="str">
        <f>IF(A139="","",Form_Raw_Data!B139)</f>
        <v/>
      </c>
      <c r="C139" s="14" t="str">
        <f>IF(A139="","",UPPER(TRIM(Form_Raw_Data!C139)))</f>
        <v/>
      </c>
      <c r="D139" s="14" t="str">
        <f>IF(A139="","",UPPER(TRIM(Form_Raw_Data!D139)))</f>
        <v/>
      </c>
      <c r="E139" s="14" t="str">
        <f>IF(A139="","",TRIM(Form_Raw_Data!E139))</f>
        <v/>
      </c>
      <c r="F139" s="12" t="str">
        <f>IF(A139="","",IF(Form_Raw_Data!F139="","",Form_Raw_Data!F139&amp;""))</f>
        <v/>
      </c>
      <c r="G139" s="14" t="str">
        <f>IF(A139="","",IF(ISNUMBER(Form_Raw_Data!F139),IF(AND(Form_Raw_Data!F139&gt;=0,Form_Raw_Data!F139&lt;=24),Form_Raw_Data!F139,""),""))</f>
        <v/>
      </c>
      <c r="H139" s="14" t="str">
        <f>IF(A139="","",TRIM(Form_Raw_Data!G139))</f>
        <v/>
      </c>
      <c r="I139" s="15" t="str">
        <f t="shared" si="2"/>
        <v/>
      </c>
      <c r="J139" s="15" t="str">
        <f>IF(A139="","",IF(COUNTIF(Lists!$A$4:$A$53,C139)&gt;0,"YES","NO"))</f>
        <v/>
      </c>
      <c r="K139" s="15" t="str">
        <f>IF(A139="","",IF(COUNTIF(Lists!$I$4:$I$53,D139)&gt;0,"YES","NO"))</f>
        <v/>
      </c>
    </row>
    <row r="140" spans="1:11" x14ac:dyDescent="0.35">
      <c r="A140" s="12" t="str">
        <f>IF(Form_Raw_Data!A140="","",Form_Raw_Data!A140)</f>
        <v/>
      </c>
      <c r="B140" s="13" t="str">
        <f>IF(A140="","",Form_Raw_Data!B140)</f>
        <v/>
      </c>
      <c r="C140" s="14" t="str">
        <f>IF(A140="","",UPPER(TRIM(Form_Raw_Data!C140)))</f>
        <v/>
      </c>
      <c r="D140" s="14" t="str">
        <f>IF(A140="","",UPPER(TRIM(Form_Raw_Data!D140)))</f>
        <v/>
      </c>
      <c r="E140" s="14" t="str">
        <f>IF(A140="","",TRIM(Form_Raw_Data!E140))</f>
        <v/>
      </c>
      <c r="F140" s="12" t="str">
        <f>IF(A140="","",IF(Form_Raw_Data!F140="","",Form_Raw_Data!F140&amp;""))</f>
        <v/>
      </c>
      <c r="G140" s="14" t="str">
        <f>IF(A140="","",IF(ISNUMBER(Form_Raw_Data!F140),IF(AND(Form_Raw_Data!F140&gt;=0,Form_Raw_Data!F140&lt;=24),Form_Raw_Data!F140,""),""))</f>
        <v/>
      </c>
      <c r="H140" s="14" t="str">
        <f>IF(A140="","",TRIM(Form_Raw_Data!G140))</f>
        <v/>
      </c>
      <c r="I140" s="15" t="str">
        <f t="shared" si="2"/>
        <v/>
      </c>
      <c r="J140" s="15" t="str">
        <f>IF(A140="","",IF(COUNTIF(Lists!$A$4:$A$53,C140)&gt;0,"YES","NO"))</f>
        <v/>
      </c>
      <c r="K140" s="15" t="str">
        <f>IF(A140="","",IF(COUNTIF(Lists!$I$4:$I$53,D140)&gt;0,"YES","NO"))</f>
        <v/>
      </c>
    </row>
    <row r="141" spans="1:11" x14ac:dyDescent="0.35">
      <c r="A141" s="12" t="str">
        <f>IF(Form_Raw_Data!A141="","",Form_Raw_Data!A141)</f>
        <v/>
      </c>
      <c r="B141" s="13" t="str">
        <f>IF(A141="","",Form_Raw_Data!B141)</f>
        <v/>
      </c>
      <c r="C141" s="14" t="str">
        <f>IF(A141="","",UPPER(TRIM(Form_Raw_Data!C141)))</f>
        <v/>
      </c>
      <c r="D141" s="14" t="str">
        <f>IF(A141="","",UPPER(TRIM(Form_Raw_Data!D141)))</f>
        <v/>
      </c>
      <c r="E141" s="14" t="str">
        <f>IF(A141="","",TRIM(Form_Raw_Data!E141))</f>
        <v/>
      </c>
      <c r="F141" s="12" t="str">
        <f>IF(A141="","",IF(Form_Raw_Data!F141="","",Form_Raw_Data!F141&amp;""))</f>
        <v/>
      </c>
      <c r="G141" s="14" t="str">
        <f>IF(A141="","",IF(ISNUMBER(Form_Raw_Data!F141),IF(AND(Form_Raw_Data!F141&gt;=0,Form_Raw_Data!F141&lt;=24),Form_Raw_Data!F141,""),""))</f>
        <v/>
      </c>
      <c r="H141" s="14" t="str">
        <f>IF(A141="","",TRIM(Form_Raw_Data!G141))</f>
        <v/>
      </c>
      <c r="I141" s="15" t="str">
        <f t="shared" si="2"/>
        <v/>
      </c>
      <c r="J141" s="15" t="str">
        <f>IF(A141="","",IF(COUNTIF(Lists!$A$4:$A$53,C141)&gt;0,"YES","NO"))</f>
        <v/>
      </c>
      <c r="K141" s="15" t="str">
        <f>IF(A141="","",IF(COUNTIF(Lists!$I$4:$I$53,D141)&gt;0,"YES","NO"))</f>
        <v/>
      </c>
    </row>
    <row r="142" spans="1:11" x14ac:dyDescent="0.35">
      <c r="A142" s="12" t="str">
        <f>IF(Form_Raw_Data!A142="","",Form_Raw_Data!A142)</f>
        <v/>
      </c>
      <c r="B142" s="13" t="str">
        <f>IF(A142="","",Form_Raw_Data!B142)</f>
        <v/>
      </c>
      <c r="C142" s="14" t="str">
        <f>IF(A142="","",UPPER(TRIM(Form_Raw_Data!C142)))</f>
        <v/>
      </c>
      <c r="D142" s="14" t="str">
        <f>IF(A142="","",UPPER(TRIM(Form_Raw_Data!D142)))</f>
        <v/>
      </c>
      <c r="E142" s="14" t="str">
        <f>IF(A142="","",TRIM(Form_Raw_Data!E142))</f>
        <v/>
      </c>
      <c r="F142" s="12" t="str">
        <f>IF(A142="","",IF(Form_Raw_Data!F142="","",Form_Raw_Data!F142&amp;""))</f>
        <v/>
      </c>
      <c r="G142" s="14" t="str">
        <f>IF(A142="","",IF(ISNUMBER(Form_Raw_Data!F142),IF(AND(Form_Raw_Data!F142&gt;=0,Form_Raw_Data!F142&lt;=24),Form_Raw_Data!F142,""),""))</f>
        <v/>
      </c>
      <c r="H142" s="14" t="str">
        <f>IF(A142="","",TRIM(Form_Raw_Data!G142))</f>
        <v/>
      </c>
      <c r="I142" s="15" t="str">
        <f t="shared" si="2"/>
        <v/>
      </c>
      <c r="J142" s="15" t="str">
        <f>IF(A142="","",IF(COUNTIF(Lists!$A$4:$A$53,C142)&gt;0,"YES","NO"))</f>
        <v/>
      </c>
      <c r="K142" s="15" t="str">
        <f>IF(A142="","",IF(COUNTIF(Lists!$I$4:$I$53,D142)&gt;0,"YES","NO"))</f>
        <v/>
      </c>
    </row>
    <row r="143" spans="1:11" x14ac:dyDescent="0.35">
      <c r="A143" s="12" t="str">
        <f>IF(Form_Raw_Data!A143="","",Form_Raw_Data!A143)</f>
        <v/>
      </c>
      <c r="B143" s="13" t="str">
        <f>IF(A143="","",Form_Raw_Data!B143)</f>
        <v/>
      </c>
      <c r="C143" s="14" t="str">
        <f>IF(A143="","",UPPER(TRIM(Form_Raw_Data!C143)))</f>
        <v/>
      </c>
      <c r="D143" s="14" t="str">
        <f>IF(A143="","",UPPER(TRIM(Form_Raw_Data!D143)))</f>
        <v/>
      </c>
      <c r="E143" s="14" t="str">
        <f>IF(A143="","",TRIM(Form_Raw_Data!E143))</f>
        <v/>
      </c>
      <c r="F143" s="12" t="str">
        <f>IF(A143="","",IF(Form_Raw_Data!F143="","",Form_Raw_Data!F143&amp;""))</f>
        <v/>
      </c>
      <c r="G143" s="14" t="str">
        <f>IF(A143="","",IF(ISNUMBER(Form_Raw_Data!F143),IF(AND(Form_Raw_Data!F143&gt;=0,Form_Raw_Data!F143&lt;=24),Form_Raw_Data!F143,""),""))</f>
        <v/>
      </c>
      <c r="H143" s="14" t="str">
        <f>IF(A143="","",TRIM(Form_Raw_Data!G143))</f>
        <v/>
      </c>
      <c r="I143" s="15" t="str">
        <f t="shared" si="2"/>
        <v/>
      </c>
      <c r="J143" s="15" t="str">
        <f>IF(A143="","",IF(COUNTIF(Lists!$A$4:$A$53,C143)&gt;0,"YES","NO"))</f>
        <v/>
      </c>
      <c r="K143" s="15" t="str">
        <f>IF(A143="","",IF(COUNTIF(Lists!$I$4:$I$53,D143)&gt;0,"YES","NO"))</f>
        <v/>
      </c>
    </row>
    <row r="144" spans="1:11" x14ac:dyDescent="0.35">
      <c r="A144" s="12" t="str">
        <f>IF(Form_Raw_Data!A144="","",Form_Raw_Data!A144)</f>
        <v/>
      </c>
      <c r="B144" s="13" t="str">
        <f>IF(A144="","",Form_Raw_Data!B144)</f>
        <v/>
      </c>
      <c r="C144" s="14" t="str">
        <f>IF(A144="","",UPPER(TRIM(Form_Raw_Data!C144)))</f>
        <v/>
      </c>
      <c r="D144" s="14" t="str">
        <f>IF(A144="","",UPPER(TRIM(Form_Raw_Data!D144)))</f>
        <v/>
      </c>
      <c r="E144" s="14" t="str">
        <f>IF(A144="","",TRIM(Form_Raw_Data!E144))</f>
        <v/>
      </c>
      <c r="F144" s="12" t="str">
        <f>IF(A144="","",IF(Form_Raw_Data!F144="","",Form_Raw_Data!F144&amp;""))</f>
        <v/>
      </c>
      <c r="G144" s="14" t="str">
        <f>IF(A144="","",IF(ISNUMBER(Form_Raw_Data!F144),IF(AND(Form_Raw_Data!F144&gt;=0,Form_Raw_Data!F144&lt;=24),Form_Raw_Data!F144,""),""))</f>
        <v/>
      </c>
      <c r="H144" s="14" t="str">
        <f>IF(A144="","",TRIM(Form_Raw_Data!G144))</f>
        <v/>
      </c>
      <c r="I144" s="15" t="str">
        <f t="shared" si="2"/>
        <v/>
      </c>
      <c r="J144" s="15" t="str">
        <f>IF(A144="","",IF(COUNTIF(Lists!$A$4:$A$53,C144)&gt;0,"YES","NO"))</f>
        <v/>
      </c>
      <c r="K144" s="15" t="str">
        <f>IF(A144="","",IF(COUNTIF(Lists!$I$4:$I$53,D144)&gt;0,"YES","NO"))</f>
        <v/>
      </c>
    </row>
    <row r="145" spans="1:11" x14ac:dyDescent="0.35">
      <c r="A145" s="12" t="str">
        <f>IF(Form_Raw_Data!A145="","",Form_Raw_Data!A145)</f>
        <v/>
      </c>
      <c r="B145" s="13" t="str">
        <f>IF(A145="","",Form_Raw_Data!B145)</f>
        <v/>
      </c>
      <c r="C145" s="14" t="str">
        <f>IF(A145="","",UPPER(TRIM(Form_Raw_Data!C145)))</f>
        <v/>
      </c>
      <c r="D145" s="14" t="str">
        <f>IF(A145="","",UPPER(TRIM(Form_Raw_Data!D145)))</f>
        <v/>
      </c>
      <c r="E145" s="14" t="str">
        <f>IF(A145="","",TRIM(Form_Raw_Data!E145))</f>
        <v/>
      </c>
      <c r="F145" s="12" t="str">
        <f>IF(A145="","",IF(Form_Raw_Data!F145="","",Form_Raw_Data!F145&amp;""))</f>
        <v/>
      </c>
      <c r="G145" s="14" t="str">
        <f>IF(A145="","",IF(ISNUMBER(Form_Raw_Data!F145),IF(AND(Form_Raw_Data!F145&gt;=0,Form_Raw_Data!F145&lt;=24),Form_Raw_Data!F145,""),""))</f>
        <v/>
      </c>
      <c r="H145" s="14" t="str">
        <f>IF(A145="","",TRIM(Form_Raw_Data!G145))</f>
        <v/>
      </c>
      <c r="I145" s="15" t="str">
        <f t="shared" si="2"/>
        <v/>
      </c>
      <c r="J145" s="15" t="str">
        <f>IF(A145="","",IF(COUNTIF(Lists!$A$4:$A$53,C145)&gt;0,"YES","NO"))</f>
        <v/>
      </c>
      <c r="K145" s="15" t="str">
        <f>IF(A145="","",IF(COUNTIF(Lists!$I$4:$I$53,D145)&gt;0,"YES","NO"))</f>
        <v/>
      </c>
    </row>
    <row r="146" spans="1:11" x14ac:dyDescent="0.35">
      <c r="A146" s="12" t="str">
        <f>IF(Form_Raw_Data!A146="","",Form_Raw_Data!A146)</f>
        <v/>
      </c>
      <c r="B146" s="13" t="str">
        <f>IF(A146="","",Form_Raw_Data!B146)</f>
        <v/>
      </c>
      <c r="C146" s="14" t="str">
        <f>IF(A146="","",UPPER(TRIM(Form_Raw_Data!C146)))</f>
        <v/>
      </c>
      <c r="D146" s="14" t="str">
        <f>IF(A146="","",UPPER(TRIM(Form_Raw_Data!D146)))</f>
        <v/>
      </c>
      <c r="E146" s="14" t="str">
        <f>IF(A146="","",TRIM(Form_Raw_Data!E146))</f>
        <v/>
      </c>
      <c r="F146" s="12" t="str">
        <f>IF(A146="","",IF(Form_Raw_Data!F146="","",Form_Raw_Data!F146&amp;""))</f>
        <v/>
      </c>
      <c r="G146" s="14" t="str">
        <f>IF(A146="","",IF(ISNUMBER(Form_Raw_Data!F146),IF(AND(Form_Raw_Data!F146&gt;=0,Form_Raw_Data!F146&lt;=24),Form_Raw_Data!F146,""),""))</f>
        <v/>
      </c>
      <c r="H146" s="14" t="str">
        <f>IF(A146="","",TRIM(Form_Raw_Data!G146))</f>
        <v/>
      </c>
      <c r="I146" s="15" t="str">
        <f t="shared" si="2"/>
        <v/>
      </c>
      <c r="J146" s="15" t="str">
        <f>IF(A146="","",IF(COUNTIF(Lists!$A$4:$A$53,C146)&gt;0,"YES","NO"))</f>
        <v/>
      </c>
      <c r="K146" s="15" t="str">
        <f>IF(A146="","",IF(COUNTIF(Lists!$I$4:$I$53,D146)&gt;0,"YES","NO"))</f>
        <v/>
      </c>
    </row>
    <row r="147" spans="1:11" x14ac:dyDescent="0.35">
      <c r="A147" s="12" t="str">
        <f>IF(Form_Raw_Data!A147="","",Form_Raw_Data!A147)</f>
        <v/>
      </c>
      <c r="B147" s="13" t="str">
        <f>IF(A147="","",Form_Raw_Data!B147)</f>
        <v/>
      </c>
      <c r="C147" s="14" t="str">
        <f>IF(A147="","",UPPER(TRIM(Form_Raw_Data!C147)))</f>
        <v/>
      </c>
      <c r="D147" s="14" t="str">
        <f>IF(A147="","",UPPER(TRIM(Form_Raw_Data!D147)))</f>
        <v/>
      </c>
      <c r="E147" s="14" t="str">
        <f>IF(A147="","",TRIM(Form_Raw_Data!E147))</f>
        <v/>
      </c>
      <c r="F147" s="12" t="str">
        <f>IF(A147="","",IF(Form_Raw_Data!F147="","",Form_Raw_Data!F147&amp;""))</f>
        <v/>
      </c>
      <c r="G147" s="14" t="str">
        <f>IF(A147="","",IF(ISNUMBER(Form_Raw_Data!F147),IF(AND(Form_Raw_Data!F147&gt;=0,Form_Raw_Data!F147&lt;=24),Form_Raw_Data!F147,""),""))</f>
        <v/>
      </c>
      <c r="H147" s="14" t="str">
        <f>IF(A147="","",TRIM(Form_Raw_Data!G147))</f>
        <v/>
      </c>
      <c r="I147" s="15" t="str">
        <f t="shared" si="2"/>
        <v/>
      </c>
      <c r="J147" s="15" t="str">
        <f>IF(A147="","",IF(COUNTIF(Lists!$A$4:$A$53,C147)&gt;0,"YES","NO"))</f>
        <v/>
      </c>
      <c r="K147" s="15" t="str">
        <f>IF(A147="","",IF(COUNTIF(Lists!$I$4:$I$53,D147)&gt;0,"YES","NO"))</f>
        <v/>
      </c>
    </row>
    <row r="148" spans="1:11" x14ac:dyDescent="0.35">
      <c r="A148" s="12" t="str">
        <f>IF(Form_Raw_Data!A148="","",Form_Raw_Data!A148)</f>
        <v/>
      </c>
      <c r="B148" s="13" t="str">
        <f>IF(A148="","",Form_Raw_Data!B148)</f>
        <v/>
      </c>
      <c r="C148" s="14" t="str">
        <f>IF(A148="","",UPPER(TRIM(Form_Raw_Data!C148)))</f>
        <v/>
      </c>
      <c r="D148" s="14" t="str">
        <f>IF(A148="","",UPPER(TRIM(Form_Raw_Data!D148)))</f>
        <v/>
      </c>
      <c r="E148" s="14" t="str">
        <f>IF(A148="","",TRIM(Form_Raw_Data!E148))</f>
        <v/>
      </c>
      <c r="F148" s="12" t="str">
        <f>IF(A148="","",IF(Form_Raw_Data!F148="","",Form_Raw_Data!F148&amp;""))</f>
        <v/>
      </c>
      <c r="G148" s="14" t="str">
        <f>IF(A148="","",IF(ISNUMBER(Form_Raw_Data!F148),IF(AND(Form_Raw_Data!F148&gt;=0,Form_Raw_Data!F148&lt;=24),Form_Raw_Data!F148,""),""))</f>
        <v/>
      </c>
      <c r="H148" s="14" t="str">
        <f>IF(A148="","",TRIM(Form_Raw_Data!G148))</f>
        <v/>
      </c>
      <c r="I148" s="15" t="str">
        <f t="shared" si="2"/>
        <v/>
      </c>
      <c r="J148" s="15" t="str">
        <f>IF(A148="","",IF(COUNTIF(Lists!$A$4:$A$53,C148)&gt;0,"YES","NO"))</f>
        <v/>
      </c>
      <c r="K148" s="15" t="str">
        <f>IF(A148="","",IF(COUNTIF(Lists!$I$4:$I$53,D148)&gt;0,"YES","NO"))</f>
        <v/>
      </c>
    </row>
    <row r="149" spans="1:11" x14ac:dyDescent="0.35">
      <c r="A149" s="12" t="str">
        <f>IF(Form_Raw_Data!A149="","",Form_Raw_Data!A149)</f>
        <v/>
      </c>
      <c r="B149" s="13" t="str">
        <f>IF(A149="","",Form_Raw_Data!B149)</f>
        <v/>
      </c>
      <c r="C149" s="14" t="str">
        <f>IF(A149="","",UPPER(TRIM(Form_Raw_Data!C149)))</f>
        <v/>
      </c>
      <c r="D149" s="14" t="str">
        <f>IF(A149="","",UPPER(TRIM(Form_Raw_Data!D149)))</f>
        <v/>
      </c>
      <c r="E149" s="14" t="str">
        <f>IF(A149="","",TRIM(Form_Raw_Data!E149))</f>
        <v/>
      </c>
      <c r="F149" s="12" t="str">
        <f>IF(A149="","",IF(Form_Raw_Data!F149="","",Form_Raw_Data!F149&amp;""))</f>
        <v/>
      </c>
      <c r="G149" s="14" t="str">
        <f>IF(A149="","",IF(ISNUMBER(Form_Raw_Data!F149),IF(AND(Form_Raw_Data!F149&gt;=0,Form_Raw_Data!F149&lt;=24),Form_Raw_Data!F149,""),""))</f>
        <v/>
      </c>
      <c r="H149" s="14" t="str">
        <f>IF(A149="","",TRIM(Form_Raw_Data!G149))</f>
        <v/>
      </c>
      <c r="I149" s="15" t="str">
        <f t="shared" si="2"/>
        <v/>
      </c>
      <c r="J149" s="15" t="str">
        <f>IF(A149="","",IF(COUNTIF(Lists!$A$4:$A$53,C149)&gt;0,"YES","NO"))</f>
        <v/>
      </c>
      <c r="K149" s="15" t="str">
        <f>IF(A149="","",IF(COUNTIF(Lists!$I$4:$I$53,D149)&gt;0,"YES","NO"))</f>
        <v/>
      </c>
    </row>
    <row r="150" spans="1:11" x14ac:dyDescent="0.35">
      <c r="A150" s="12" t="str">
        <f>IF(Form_Raw_Data!A150="","",Form_Raw_Data!A150)</f>
        <v/>
      </c>
      <c r="B150" s="13" t="str">
        <f>IF(A150="","",Form_Raw_Data!B150)</f>
        <v/>
      </c>
      <c r="C150" s="14" t="str">
        <f>IF(A150="","",UPPER(TRIM(Form_Raw_Data!C150)))</f>
        <v/>
      </c>
      <c r="D150" s="14" t="str">
        <f>IF(A150="","",UPPER(TRIM(Form_Raw_Data!D150)))</f>
        <v/>
      </c>
      <c r="E150" s="14" t="str">
        <f>IF(A150="","",TRIM(Form_Raw_Data!E150))</f>
        <v/>
      </c>
      <c r="F150" s="12" t="str">
        <f>IF(A150="","",IF(Form_Raw_Data!F150="","",Form_Raw_Data!F150&amp;""))</f>
        <v/>
      </c>
      <c r="G150" s="14" t="str">
        <f>IF(A150="","",IF(ISNUMBER(Form_Raw_Data!F150),IF(AND(Form_Raw_Data!F150&gt;=0,Form_Raw_Data!F150&lt;=24),Form_Raw_Data!F150,""),""))</f>
        <v/>
      </c>
      <c r="H150" s="14" t="str">
        <f>IF(A150="","",TRIM(Form_Raw_Data!G150))</f>
        <v/>
      </c>
      <c r="I150" s="15" t="str">
        <f t="shared" si="2"/>
        <v/>
      </c>
      <c r="J150" s="15" t="str">
        <f>IF(A150="","",IF(COUNTIF(Lists!$A$4:$A$53,C150)&gt;0,"YES","NO"))</f>
        <v/>
      </c>
      <c r="K150" s="15" t="str">
        <f>IF(A150="","",IF(COUNTIF(Lists!$I$4:$I$53,D150)&gt;0,"YES","NO"))</f>
        <v/>
      </c>
    </row>
    <row r="151" spans="1:11" x14ac:dyDescent="0.35">
      <c r="A151" s="12" t="str">
        <f>IF(Form_Raw_Data!A151="","",Form_Raw_Data!A151)</f>
        <v/>
      </c>
      <c r="B151" s="13" t="str">
        <f>IF(A151="","",Form_Raw_Data!B151)</f>
        <v/>
      </c>
      <c r="C151" s="14" t="str">
        <f>IF(A151="","",UPPER(TRIM(Form_Raw_Data!C151)))</f>
        <v/>
      </c>
      <c r="D151" s="14" t="str">
        <f>IF(A151="","",UPPER(TRIM(Form_Raw_Data!D151)))</f>
        <v/>
      </c>
      <c r="E151" s="14" t="str">
        <f>IF(A151="","",TRIM(Form_Raw_Data!E151))</f>
        <v/>
      </c>
      <c r="F151" s="12" t="str">
        <f>IF(A151="","",IF(Form_Raw_Data!F151="","",Form_Raw_Data!F151&amp;""))</f>
        <v/>
      </c>
      <c r="G151" s="14" t="str">
        <f>IF(A151="","",IF(ISNUMBER(Form_Raw_Data!F151),IF(AND(Form_Raw_Data!F151&gt;=0,Form_Raw_Data!F151&lt;=24),Form_Raw_Data!F151,""),""))</f>
        <v/>
      </c>
      <c r="H151" s="14" t="str">
        <f>IF(A151="","",TRIM(Form_Raw_Data!G151))</f>
        <v/>
      </c>
      <c r="I151" s="15" t="str">
        <f t="shared" si="2"/>
        <v/>
      </c>
      <c r="J151" s="15" t="str">
        <f>IF(A151="","",IF(COUNTIF(Lists!$A$4:$A$53,C151)&gt;0,"YES","NO"))</f>
        <v/>
      </c>
      <c r="K151" s="15" t="str">
        <f>IF(A151="","",IF(COUNTIF(Lists!$I$4:$I$53,D151)&gt;0,"YES","NO"))</f>
        <v/>
      </c>
    </row>
    <row r="152" spans="1:11" x14ac:dyDescent="0.35">
      <c r="A152" s="12" t="str">
        <f>IF(Form_Raw_Data!A152="","",Form_Raw_Data!A152)</f>
        <v/>
      </c>
      <c r="B152" s="13" t="str">
        <f>IF(A152="","",Form_Raw_Data!B152)</f>
        <v/>
      </c>
      <c r="C152" s="14" t="str">
        <f>IF(A152="","",UPPER(TRIM(Form_Raw_Data!C152)))</f>
        <v/>
      </c>
      <c r="D152" s="14" t="str">
        <f>IF(A152="","",UPPER(TRIM(Form_Raw_Data!D152)))</f>
        <v/>
      </c>
      <c r="E152" s="14" t="str">
        <f>IF(A152="","",TRIM(Form_Raw_Data!E152))</f>
        <v/>
      </c>
      <c r="F152" s="12" t="str">
        <f>IF(A152="","",IF(Form_Raw_Data!F152="","",Form_Raw_Data!F152&amp;""))</f>
        <v/>
      </c>
      <c r="G152" s="14" t="str">
        <f>IF(A152="","",IF(ISNUMBER(Form_Raw_Data!F152),IF(AND(Form_Raw_Data!F152&gt;=0,Form_Raw_Data!F152&lt;=24),Form_Raw_Data!F152,""),""))</f>
        <v/>
      </c>
      <c r="H152" s="14" t="str">
        <f>IF(A152="","",TRIM(Form_Raw_Data!G152))</f>
        <v/>
      </c>
      <c r="I152" s="15" t="str">
        <f t="shared" si="2"/>
        <v/>
      </c>
      <c r="J152" s="15" t="str">
        <f>IF(A152="","",IF(COUNTIF(Lists!$A$4:$A$53,C152)&gt;0,"YES","NO"))</f>
        <v/>
      </c>
      <c r="K152" s="15" t="str">
        <f>IF(A152="","",IF(COUNTIF(Lists!$I$4:$I$53,D152)&gt;0,"YES","NO"))</f>
        <v/>
      </c>
    </row>
    <row r="153" spans="1:11" x14ac:dyDescent="0.35">
      <c r="A153" s="12" t="str">
        <f>IF(Form_Raw_Data!A153="","",Form_Raw_Data!A153)</f>
        <v/>
      </c>
      <c r="B153" s="13" t="str">
        <f>IF(A153="","",Form_Raw_Data!B153)</f>
        <v/>
      </c>
      <c r="C153" s="14" t="str">
        <f>IF(A153="","",UPPER(TRIM(Form_Raw_Data!C153)))</f>
        <v/>
      </c>
      <c r="D153" s="14" t="str">
        <f>IF(A153="","",UPPER(TRIM(Form_Raw_Data!D153)))</f>
        <v/>
      </c>
      <c r="E153" s="14" t="str">
        <f>IF(A153="","",TRIM(Form_Raw_Data!E153))</f>
        <v/>
      </c>
      <c r="F153" s="12" t="str">
        <f>IF(A153="","",IF(Form_Raw_Data!F153="","",Form_Raw_Data!F153&amp;""))</f>
        <v/>
      </c>
      <c r="G153" s="14" t="str">
        <f>IF(A153="","",IF(ISNUMBER(Form_Raw_Data!F153),IF(AND(Form_Raw_Data!F153&gt;=0,Form_Raw_Data!F153&lt;=24),Form_Raw_Data!F153,""),""))</f>
        <v/>
      </c>
      <c r="H153" s="14" t="str">
        <f>IF(A153="","",TRIM(Form_Raw_Data!G153))</f>
        <v/>
      </c>
      <c r="I153" s="15" t="str">
        <f t="shared" si="2"/>
        <v/>
      </c>
      <c r="J153" s="15" t="str">
        <f>IF(A153="","",IF(COUNTIF(Lists!$A$4:$A$53,C153)&gt;0,"YES","NO"))</f>
        <v/>
      </c>
      <c r="K153" s="15" t="str">
        <f>IF(A153="","",IF(COUNTIF(Lists!$I$4:$I$53,D153)&gt;0,"YES","NO"))</f>
        <v/>
      </c>
    </row>
    <row r="154" spans="1:11" x14ac:dyDescent="0.35">
      <c r="A154" s="12" t="str">
        <f>IF(Form_Raw_Data!A154="","",Form_Raw_Data!A154)</f>
        <v/>
      </c>
      <c r="B154" s="13" t="str">
        <f>IF(A154="","",Form_Raw_Data!B154)</f>
        <v/>
      </c>
      <c r="C154" s="14" t="str">
        <f>IF(A154="","",UPPER(TRIM(Form_Raw_Data!C154)))</f>
        <v/>
      </c>
      <c r="D154" s="14" t="str">
        <f>IF(A154="","",UPPER(TRIM(Form_Raw_Data!D154)))</f>
        <v/>
      </c>
      <c r="E154" s="14" t="str">
        <f>IF(A154="","",TRIM(Form_Raw_Data!E154))</f>
        <v/>
      </c>
      <c r="F154" s="12" t="str">
        <f>IF(A154="","",IF(Form_Raw_Data!F154="","",Form_Raw_Data!F154&amp;""))</f>
        <v/>
      </c>
      <c r="G154" s="14" t="str">
        <f>IF(A154="","",IF(ISNUMBER(Form_Raw_Data!F154),IF(AND(Form_Raw_Data!F154&gt;=0,Form_Raw_Data!F154&lt;=24),Form_Raw_Data!F154,""),""))</f>
        <v/>
      </c>
      <c r="H154" s="14" t="str">
        <f>IF(A154="","",TRIM(Form_Raw_Data!G154))</f>
        <v/>
      </c>
      <c r="I154" s="15" t="str">
        <f t="shared" si="2"/>
        <v/>
      </c>
      <c r="J154" s="15" t="str">
        <f>IF(A154="","",IF(COUNTIF(Lists!$A$4:$A$53,C154)&gt;0,"YES","NO"))</f>
        <v/>
      </c>
      <c r="K154" s="15" t="str">
        <f>IF(A154="","",IF(COUNTIF(Lists!$I$4:$I$53,D154)&gt;0,"YES","NO"))</f>
        <v/>
      </c>
    </row>
    <row r="155" spans="1:11" x14ac:dyDescent="0.35">
      <c r="A155" s="12" t="str">
        <f>IF(Form_Raw_Data!A155="","",Form_Raw_Data!A155)</f>
        <v/>
      </c>
      <c r="B155" s="13" t="str">
        <f>IF(A155="","",Form_Raw_Data!B155)</f>
        <v/>
      </c>
      <c r="C155" s="14" t="str">
        <f>IF(A155="","",UPPER(TRIM(Form_Raw_Data!C155)))</f>
        <v/>
      </c>
      <c r="D155" s="14" t="str">
        <f>IF(A155="","",UPPER(TRIM(Form_Raw_Data!D155)))</f>
        <v/>
      </c>
      <c r="E155" s="14" t="str">
        <f>IF(A155="","",TRIM(Form_Raw_Data!E155))</f>
        <v/>
      </c>
      <c r="F155" s="12" t="str">
        <f>IF(A155="","",IF(Form_Raw_Data!F155="","",Form_Raw_Data!F155&amp;""))</f>
        <v/>
      </c>
      <c r="G155" s="14" t="str">
        <f>IF(A155="","",IF(ISNUMBER(Form_Raw_Data!F155),IF(AND(Form_Raw_Data!F155&gt;=0,Form_Raw_Data!F155&lt;=24),Form_Raw_Data!F155,""),""))</f>
        <v/>
      </c>
      <c r="H155" s="14" t="str">
        <f>IF(A155="","",TRIM(Form_Raw_Data!G155))</f>
        <v/>
      </c>
      <c r="I155" s="15" t="str">
        <f t="shared" si="2"/>
        <v/>
      </c>
      <c r="J155" s="15" t="str">
        <f>IF(A155="","",IF(COUNTIF(Lists!$A$4:$A$53,C155)&gt;0,"YES","NO"))</f>
        <v/>
      </c>
      <c r="K155" s="15" t="str">
        <f>IF(A155="","",IF(COUNTIF(Lists!$I$4:$I$53,D155)&gt;0,"YES","NO"))</f>
        <v/>
      </c>
    </row>
    <row r="156" spans="1:11" x14ac:dyDescent="0.35">
      <c r="A156" s="12" t="str">
        <f>IF(Form_Raw_Data!A156="","",Form_Raw_Data!A156)</f>
        <v/>
      </c>
      <c r="B156" s="13" t="str">
        <f>IF(A156="","",Form_Raw_Data!B156)</f>
        <v/>
      </c>
      <c r="C156" s="14" t="str">
        <f>IF(A156="","",UPPER(TRIM(Form_Raw_Data!C156)))</f>
        <v/>
      </c>
      <c r="D156" s="14" t="str">
        <f>IF(A156="","",UPPER(TRIM(Form_Raw_Data!D156)))</f>
        <v/>
      </c>
      <c r="E156" s="14" t="str">
        <f>IF(A156="","",TRIM(Form_Raw_Data!E156))</f>
        <v/>
      </c>
      <c r="F156" s="12" t="str">
        <f>IF(A156="","",IF(Form_Raw_Data!F156="","",Form_Raw_Data!F156&amp;""))</f>
        <v/>
      </c>
      <c r="G156" s="14" t="str">
        <f>IF(A156="","",IF(ISNUMBER(Form_Raw_Data!F156),IF(AND(Form_Raw_Data!F156&gt;=0,Form_Raw_Data!F156&lt;=24),Form_Raw_Data!F156,""),""))</f>
        <v/>
      </c>
      <c r="H156" s="14" t="str">
        <f>IF(A156="","",TRIM(Form_Raw_Data!G156))</f>
        <v/>
      </c>
      <c r="I156" s="15" t="str">
        <f t="shared" si="2"/>
        <v/>
      </c>
      <c r="J156" s="15" t="str">
        <f>IF(A156="","",IF(COUNTIF(Lists!$A$4:$A$53,C156)&gt;0,"YES","NO"))</f>
        <v/>
      </c>
      <c r="K156" s="15" t="str">
        <f>IF(A156="","",IF(COUNTIF(Lists!$I$4:$I$53,D156)&gt;0,"YES","NO"))</f>
        <v/>
      </c>
    </row>
    <row r="157" spans="1:11" x14ac:dyDescent="0.35">
      <c r="A157" s="12" t="str">
        <f>IF(Form_Raw_Data!A157="","",Form_Raw_Data!A157)</f>
        <v/>
      </c>
      <c r="B157" s="13" t="str">
        <f>IF(A157="","",Form_Raw_Data!B157)</f>
        <v/>
      </c>
      <c r="C157" s="14" t="str">
        <f>IF(A157="","",UPPER(TRIM(Form_Raw_Data!C157)))</f>
        <v/>
      </c>
      <c r="D157" s="14" t="str">
        <f>IF(A157="","",UPPER(TRIM(Form_Raw_Data!D157)))</f>
        <v/>
      </c>
      <c r="E157" s="14" t="str">
        <f>IF(A157="","",TRIM(Form_Raw_Data!E157))</f>
        <v/>
      </c>
      <c r="F157" s="12" t="str">
        <f>IF(A157="","",IF(Form_Raw_Data!F157="","",Form_Raw_Data!F157&amp;""))</f>
        <v/>
      </c>
      <c r="G157" s="14" t="str">
        <f>IF(A157="","",IF(ISNUMBER(Form_Raw_Data!F157),IF(AND(Form_Raw_Data!F157&gt;=0,Form_Raw_Data!F157&lt;=24),Form_Raw_Data!F157,""),""))</f>
        <v/>
      </c>
      <c r="H157" s="14" t="str">
        <f>IF(A157="","",TRIM(Form_Raw_Data!G157))</f>
        <v/>
      </c>
      <c r="I157" s="15" t="str">
        <f t="shared" si="2"/>
        <v/>
      </c>
      <c r="J157" s="15" t="str">
        <f>IF(A157="","",IF(COUNTIF(Lists!$A$4:$A$53,C157)&gt;0,"YES","NO"))</f>
        <v/>
      </c>
      <c r="K157" s="15" t="str">
        <f>IF(A157="","",IF(COUNTIF(Lists!$I$4:$I$53,D157)&gt;0,"YES","NO"))</f>
        <v/>
      </c>
    </row>
    <row r="158" spans="1:11" x14ac:dyDescent="0.35">
      <c r="A158" s="12" t="str">
        <f>IF(Form_Raw_Data!A158="","",Form_Raw_Data!A158)</f>
        <v/>
      </c>
      <c r="B158" s="13" t="str">
        <f>IF(A158="","",Form_Raw_Data!B158)</f>
        <v/>
      </c>
      <c r="C158" s="14" t="str">
        <f>IF(A158="","",UPPER(TRIM(Form_Raw_Data!C158)))</f>
        <v/>
      </c>
      <c r="D158" s="14" t="str">
        <f>IF(A158="","",UPPER(TRIM(Form_Raw_Data!D158)))</f>
        <v/>
      </c>
      <c r="E158" s="14" t="str">
        <f>IF(A158="","",TRIM(Form_Raw_Data!E158))</f>
        <v/>
      </c>
      <c r="F158" s="12" t="str">
        <f>IF(A158="","",IF(Form_Raw_Data!F158="","",Form_Raw_Data!F158&amp;""))</f>
        <v/>
      </c>
      <c r="G158" s="14" t="str">
        <f>IF(A158="","",IF(ISNUMBER(Form_Raw_Data!F158),IF(AND(Form_Raw_Data!F158&gt;=0,Form_Raw_Data!F158&lt;=24),Form_Raw_Data!F158,""),""))</f>
        <v/>
      </c>
      <c r="H158" s="14" t="str">
        <f>IF(A158="","",TRIM(Form_Raw_Data!G158))</f>
        <v/>
      </c>
      <c r="I158" s="15" t="str">
        <f t="shared" si="2"/>
        <v/>
      </c>
      <c r="J158" s="15" t="str">
        <f>IF(A158="","",IF(COUNTIF(Lists!$A$4:$A$53,C158)&gt;0,"YES","NO"))</f>
        <v/>
      </c>
      <c r="K158" s="15" t="str">
        <f>IF(A158="","",IF(COUNTIF(Lists!$I$4:$I$53,D158)&gt;0,"YES","NO"))</f>
        <v/>
      </c>
    </row>
    <row r="159" spans="1:11" x14ac:dyDescent="0.35">
      <c r="A159" s="12" t="str">
        <f>IF(Form_Raw_Data!A159="","",Form_Raw_Data!A159)</f>
        <v/>
      </c>
      <c r="B159" s="13" t="str">
        <f>IF(A159="","",Form_Raw_Data!B159)</f>
        <v/>
      </c>
      <c r="C159" s="14" t="str">
        <f>IF(A159="","",UPPER(TRIM(Form_Raw_Data!C159)))</f>
        <v/>
      </c>
      <c r="D159" s="14" t="str">
        <f>IF(A159="","",UPPER(TRIM(Form_Raw_Data!D159)))</f>
        <v/>
      </c>
      <c r="E159" s="14" t="str">
        <f>IF(A159="","",TRIM(Form_Raw_Data!E159))</f>
        <v/>
      </c>
      <c r="F159" s="12" t="str">
        <f>IF(A159="","",IF(Form_Raw_Data!F159="","",Form_Raw_Data!F159&amp;""))</f>
        <v/>
      </c>
      <c r="G159" s="14" t="str">
        <f>IF(A159="","",IF(ISNUMBER(Form_Raw_Data!F159),IF(AND(Form_Raw_Data!F159&gt;=0,Form_Raw_Data!F159&lt;=24),Form_Raw_Data!F159,""),""))</f>
        <v/>
      </c>
      <c r="H159" s="14" t="str">
        <f>IF(A159="","",TRIM(Form_Raw_Data!G159))</f>
        <v/>
      </c>
      <c r="I159" s="15" t="str">
        <f t="shared" si="2"/>
        <v/>
      </c>
      <c r="J159" s="15" t="str">
        <f>IF(A159="","",IF(COUNTIF(Lists!$A$4:$A$53,C159)&gt;0,"YES","NO"))</f>
        <v/>
      </c>
      <c r="K159" s="15" t="str">
        <f>IF(A159="","",IF(COUNTIF(Lists!$I$4:$I$53,D159)&gt;0,"YES","NO"))</f>
        <v/>
      </c>
    </row>
    <row r="160" spans="1:11" x14ac:dyDescent="0.35">
      <c r="A160" s="12" t="str">
        <f>IF(Form_Raw_Data!A160="","",Form_Raw_Data!A160)</f>
        <v/>
      </c>
      <c r="B160" s="13" t="str">
        <f>IF(A160="","",Form_Raw_Data!B160)</f>
        <v/>
      </c>
      <c r="C160" s="14" t="str">
        <f>IF(A160="","",UPPER(TRIM(Form_Raw_Data!C160)))</f>
        <v/>
      </c>
      <c r="D160" s="14" t="str">
        <f>IF(A160="","",UPPER(TRIM(Form_Raw_Data!D160)))</f>
        <v/>
      </c>
      <c r="E160" s="14" t="str">
        <f>IF(A160="","",TRIM(Form_Raw_Data!E160))</f>
        <v/>
      </c>
      <c r="F160" s="12" t="str">
        <f>IF(A160="","",IF(Form_Raw_Data!F160="","",Form_Raw_Data!F160&amp;""))</f>
        <v/>
      </c>
      <c r="G160" s="14" t="str">
        <f>IF(A160="","",IF(ISNUMBER(Form_Raw_Data!F160),IF(AND(Form_Raw_Data!F160&gt;=0,Form_Raw_Data!F160&lt;=24),Form_Raw_Data!F160,""),""))</f>
        <v/>
      </c>
      <c r="H160" s="14" t="str">
        <f>IF(A160="","",TRIM(Form_Raw_Data!G160))</f>
        <v/>
      </c>
      <c r="I160" s="15" t="str">
        <f t="shared" si="2"/>
        <v/>
      </c>
      <c r="J160" s="15" t="str">
        <f>IF(A160="","",IF(COUNTIF(Lists!$A$4:$A$53,C160)&gt;0,"YES","NO"))</f>
        <v/>
      </c>
      <c r="K160" s="15" t="str">
        <f>IF(A160="","",IF(COUNTIF(Lists!$I$4:$I$53,D160)&gt;0,"YES","NO"))</f>
        <v/>
      </c>
    </row>
    <row r="161" spans="1:11" x14ac:dyDescent="0.35">
      <c r="A161" s="12" t="str">
        <f>IF(Form_Raw_Data!A161="","",Form_Raw_Data!A161)</f>
        <v/>
      </c>
      <c r="B161" s="13" t="str">
        <f>IF(A161="","",Form_Raw_Data!B161)</f>
        <v/>
      </c>
      <c r="C161" s="14" t="str">
        <f>IF(A161="","",UPPER(TRIM(Form_Raw_Data!C161)))</f>
        <v/>
      </c>
      <c r="D161" s="14" t="str">
        <f>IF(A161="","",UPPER(TRIM(Form_Raw_Data!D161)))</f>
        <v/>
      </c>
      <c r="E161" s="14" t="str">
        <f>IF(A161="","",TRIM(Form_Raw_Data!E161))</f>
        <v/>
      </c>
      <c r="F161" s="12" t="str">
        <f>IF(A161="","",IF(Form_Raw_Data!F161="","",Form_Raw_Data!F161&amp;""))</f>
        <v/>
      </c>
      <c r="G161" s="14" t="str">
        <f>IF(A161="","",IF(ISNUMBER(Form_Raw_Data!F161),IF(AND(Form_Raw_Data!F161&gt;=0,Form_Raw_Data!F161&lt;=24),Form_Raw_Data!F161,""),""))</f>
        <v/>
      </c>
      <c r="H161" s="14" t="str">
        <f>IF(A161="","",TRIM(Form_Raw_Data!G161))</f>
        <v/>
      </c>
      <c r="I161" s="15" t="str">
        <f t="shared" si="2"/>
        <v/>
      </c>
      <c r="J161" s="15" t="str">
        <f>IF(A161="","",IF(COUNTIF(Lists!$A$4:$A$53,C161)&gt;0,"YES","NO"))</f>
        <v/>
      </c>
      <c r="K161" s="15" t="str">
        <f>IF(A161="","",IF(COUNTIF(Lists!$I$4:$I$53,D161)&gt;0,"YES","NO"))</f>
        <v/>
      </c>
    </row>
    <row r="162" spans="1:11" x14ac:dyDescent="0.35">
      <c r="A162" s="12" t="str">
        <f>IF(Form_Raw_Data!A162="","",Form_Raw_Data!A162)</f>
        <v/>
      </c>
      <c r="B162" s="13" t="str">
        <f>IF(A162="","",Form_Raw_Data!B162)</f>
        <v/>
      </c>
      <c r="C162" s="14" t="str">
        <f>IF(A162="","",UPPER(TRIM(Form_Raw_Data!C162)))</f>
        <v/>
      </c>
      <c r="D162" s="14" t="str">
        <f>IF(A162="","",UPPER(TRIM(Form_Raw_Data!D162)))</f>
        <v/>
      </c>
      <c r="E162" s="14" t="str">
        <f>IF(A162="","",TRIM(Form_Raw_Data!E162))</f>
        <v/>
      </c>
      <c r="F162" s="12" t="str">
        <f>IF(A162="","",IF(Form_Raw_Data!F162="","",Form_Raw_Data!F162&amp;""))</f>
        <v/>
      </c>
      <c r="G162" s="14" t="str">
        <f>IF(A162="","",IF(ISNUMBER(Form_Raw_Data!F162),IF(AND(Form_Raw_Data!F162&gt;=0,Form_Raw_Data!F162&lt;=24),Form_Raw_Data!F162,""),""))</f>
        <v/>
      </c>
      <c r="H162" s="14" t="str">
        <f>IF(A162="","",TRIM(Form_Raw_Data!G162))</f>
        <v/>
      </c>
      <c r="I162" s="15" t="str">
        <f t="shared" si="2"/>
        <v/>
      </c>
      <c r="J162" s="15" t="str">
        <f>IF(A162="","",IF(COUNTIF(Lists!$A$4:$A$53,C162)&gt;0,"YES","NO"))</f>
        <v/>
      </c>
      <c r="K162" s="15" t="str">
        <f>IF(A162="","",IF(COUNTIF(Lists!$I$4:$I$53,D162)&gt;0,"YES","NO"))</f>
        <v/>
      </c>
    </row>
    <row r="163" spans="1:11" x14ac:dyDescent="0.35">
      <c r="A163" s="12" t="str">
        <f>IF(Form_Raw_Data!A163="","",Form_Raw_Data!A163)</f>
        <v/>
      </c>
      <c r="B163" s="13" t="str">
        <f>IF(A163="","",Form_Raw_Data!B163)</f>
        <v/>
      </c>
      <c r="C163" s="14" t="str">
        <f>IF(A163="","",UPPER(TRIM(Form_Raw_Data!C163)))</f>
        <v/>
      </c>
      <c r="D163" s="14" t="str">
        <f>IF(A163="","",UPPER(TRIM(Form_Raw_Data!D163)))</f>
        <v/>
      </c>
      <c r="E163" s="14" t="str">
        <f>IF(A163="","",TRIM(Form_Raw_Data!E163))</f>
        <v/>
      </c>
      <c r="F163" s="12" t="str">
        <f>IF(A163="","",IF(Form_Raw_Data!F163="","",Form_Raw_Data!F163&amp;""))</f>
        <v/>
      </c>
      <c r="G163" s="14" t="str">
        <f>IF(A163="","",IF(ISNUMBER(Form_Raw_Data!F163),IF(AND(Form_Raw_Data!F163&gt;=0,Form_Raw_Data!F163&lt;=24),Form_Raw_Data!F163,""),""))</f>
        <v/>
      </c>
      <c r="H163" s="14" t="str">
        <f>IF(A163="","",TRIM(Form_Raw_Data!G163))</f>
        <v/>
      </c>
      <c r="I163" s="15" t="str">
        <f t="shared" si="2"/>
        <v/>
      </c>
      <c r="J163" s="15" t="str">
        <f>IF(A163="","",IF(COUNTIF(Lists!$A$4:$A$53,C163)&gt;0,"YES","NO"))</f>
        <v/>
      </c>
      <c r="K163" s="15" t="str">
        <f>IF(A163="","",IF(COUNTIF(Lists!$I$4:$I$53,D163)&gt;0,"YES","NO"))</f>
        <v/>
      </c>
    </row>
    <row r="164" spans="1:11" x14ac:dyDescent="0.35">
      <c r="A164" s="12" t="str">
        <f>IF(Form_Raw_Data!A164="","",Form_Raw_Data!A164)</f>
        <v/>
      </c>
      <c r="B164" s="13" t="str">
        <f>IF(A164="","",Form_Raw_Data!B164)</f>
        <v/>
      </c>
      <c r="C164" s="14" t="str">
        <f>IF(A164="","",UPPER(TRIM(Form_Raw_Data!C164)))</f>
        <v/>
      </c>
      <c r="D164" s="14" t="str">
        <f>IF(A164="","",UPPER(TRIM(Form_Raw_Data!D164)))</f>
        <v/>
      </c>
      <c r="E164" s="14" t="str">
        <f>IF(A164="","",TRIM(Form_Raw_Data!E164))</f>
        <v/>
      </c>
      <c r="F164" s="12" t="str">
        <f>IF(A164="","",IF(Form_Raw_Data!F164="","",Form_Raw_Data!F164&amp;""))</f>
        <v/>
      </c>
      <c r="G164" s="14" t="str">
        <f>IF(A164="","",IF(ISNUMBER(Form_Raw_Data!F164),IF(AND(Form_Raw_Data!F164&gt;=0,Form_Raw_Data!F164&lt;=24),Form_Raw_Data!F164,""),""))</f>
        <v/>
      </c>
      <c r="H164" s="14" t="str">
        <f>IF(A164="","",TRIM(Form_Raw_Data!G164))</f>
        <v/>
      </c>
      <c r="I164" s="15" t="str">
        <f t="shared" si="2"/>
        <v/>
      </c>
      <c r="J164" s="15" t="str">
        <f>IF(A164="","",IF(COUNTIF(Lists!$A$4:$A$53,C164)&gt;0,"YES","NO"))</f>
        <v/>
      </c>
      <c r="K164" s="15" t="str">
        <f>IF(A164="","",IF(COUNTIF(Lists!$I$4:$I$53,D164)&gt;0,"YES","NO"))</f>
        <v/>
      </c>
    </row>
    <row r="165" spans="1:11" x14ac:dyDescent="0.35">
      <c r="A165" s="12" t="str">
        <f>IF(Form_Raw_Data!A165="","",Form_Raw_Data!A165)</f>
        <v/>
      </c>
      <c r="B165" s="13" t="str">
        <f>IF(A165="","",Form_Raw_Data!B165)</f>
        <v/>
      </c>
      <c r="C165" s="14" t="str">
        <f>IF(A165="","",UPPER(TRIM(Form_Raw_Data!C165)))</f>
        <v/>
      </c>
      <c r="D165" s="14" t="str">
        <f>IF(A165="","",UPPER(TRIM(Form_Raw_Data!D165)))</f>
        <v/>
      </c>
      <c r="E165" s="14" t="str">
        <f>IF(A165="","",TRIM(Form_Raw_Data!E165))</f>
        <v/>
      </c>
      <c r="F165" s="12" t="str">
        <f>IF(A165="","",IF(Form_Raw_Data!F165="","",Form_Raw_Data!F165&amp;""))</f>
        <v/>
      </c>
      <c r="G165" s="14" t="str">
        <f>IF(A165="","",IF(ISNUMBER(Form_Raw_Data!F165),IF(AND(Form_Raw_Data!F165&gt;=0,Form_Raw_Data!F165&lt;=24),Form_Raw_Data!F165,""),""))</f>
        <v/>
      </c>
      <c r="H165" s="14" t="str">
        <f>IF(A165="","",TRIM(Form_Raw_Data!G165))</f>
        <v/>
      </c>
      <c r="I165" s="15" t="str">
        <f t="shared" si="2"/>
        <v/>
      </c>
      <c r="J165" s="15" t="str">
        <f>IF(A165="","",IF(COUNTIF(Lists!$A$4:$A$53,C165)&gt;0,"YES","NO"))</f>
        <v/>
      </c>
      <c r="K165" s="15" t="str">
        <f>IF(A165="","",IF(COUNTIF(Lists!$I$4:$I$53,D165)&gt;0,"YES","NO"))</f>
        <v/>
      </c>
    </row>
    <row r="166" spans="1:11" x14ac:dyDescent="0.35">
      <c r="A166" s="12" t="str">
        <f>IF(Form_Raw_Data!A166="","",Form_Raw_Data!A166)</f>
        <v/>
      </c>
      <c r="B166" s="13" t="str">
        <f>IF(A166="","",Form_Raw_Data!B166)</f>
        <v/>
      </c>
      <c r="C166" s="14" t="str">
        <f>IF(A166="","",UPPER(TRIM(Form_Raw_Data!C166)))</f>
        <v/>
      </c>
      <c r="D166" s="14" t="str">
        <f>IF(A166="","",UPPER(TRIM(Form_Raw_Data!D166)))</f>
        <v/>
      </c>
      <c r="E166" s="14" t="str">
        <f>IF(A166="","",TRIM(Form_Raw_Data!E166))</f>
        <v/>
      </c>
      <c r="F166" s="12" t="str">
        <f>IF(A166="","",IF(Form_Raw_Data!F166="","",Form_Raw_Data!F166&amp;""))</f>
        <v/>
      </c>
      <c r="G166" s="14" t="str">
        <f>IF(A166="","",IF(ISNUMBER(Form_Raw_Data!F166),IF(AND(Form_Raw_Data!F166&gt;=0,Form_Raw_Data!F166&lt;=24),Form_Raw_Data!F166,""),""))</f>
        <v/>
      </c>
      <c r="H166" s="14" t="str">
        <f>IF(A166="","",TRIM(Form_Raw_Data!G166))</f>
        <v/>
      </c>
      <c r="I166" s="15" t="str">
        <f t="shared" si="2"/>
        <v/>
      </c>
      <c r="J166" s="15" t="str">
        <f>IF(A166="","",IF(COUNTIF(Lists!$A$4:$A$53,C166)&gt;0,"YES","NO"))</f>
        <v/>
      </c>
      <c r="K166" s="15" t="str">
        <f>IF(A166="","",IF(COUNTIF(Lists!$I$4:$I$53,D166)&gt;0,"YES","NO"))</f>
        <v/>
      </c>
    </row>
    <row r="167" spans="1:11" x14ac:dyDescent="0.35">
      <c r="A167" s="12" t="str">
        <f>IF(Form_Raw_Data!A167="","",Form_Raw_Data!A167)</f>
        <v/>
      </c>
      <c r="B167" s="13" t="str">
        <f>IF(A167="","",Form_Raw_Data!B167)</f>
        <v/>
      </c>
      <c r="C167" s="14" t="str">
        <f>IF(A167="","",UPPER(TRIM(Form_Raw_Data!C167)))</f>
        <v/>
      </c>
      <c r="D167" s="14" t="str">
        <f>IF(A167="","",UPPER(TRIM(Form_Raw_Data!D167)))</f>
        <v/>
      </c>
      <c r="E167" s="14" t="str">
        <f>IF(A167="","",TRIM(Form_Raw_Data!E167))</f>
        <v/>
      </c>
      <c r="F167" s="12" t="str">
        <f>IF(A167="","",IF(Form_Raw_Data!F167="","",Form_Raw_Data!F167&amp;""))</f>
        <v/>
      </c>
      <c r="G167" s="14" t="str">
        <f>IF(A167="","",IF(ISNUMBER(Form_Raw_Data!F167),IF(AND(Form_Raw_Data!F167&gt;=0,Form_Raw_Data!F167&lt;=24),Form_Raw_Data!F167,""),""))</f>
        <v/>
      </c>
      <c r="H167" s="14" t="str">
        <f>IF(A167="","",TRIM(Form_Raw_Data!G167))</f>
        <v/>
      </c>
      <c r="I167" s="15" t="str">
        <f t="shared" si="2"/>
        <v/>
      </c>
      <c r="J167" s="15" t="str">
        <f>IF(A167="","",IF(COUNTIF(Lists!$A$4:$A$53,C167)&gt;0,"YES","NO"))</f>
        <v/>
      </c>
      <c r="K167" s="15" t="str">
        <f>IF(A167="","",IF(COUNTIF(Lists!$I$4:$I$53,D167)&gt;0,"YES","NO"))</f>
        <v/>
      </c>
    </row>
    <row r="168" spans="1:11" x14ac:dyDescent="0.35">
      <c r="A168" s="12" t="str">
        <f>IF(Form_Raw_Data!A168="","",Form_Raw_Data!A168)</f>
        <v/>
      </c>
      <c r="B168" s="13" t="str">
        <f>IF(A168="","",Form_Raw_Data!B168)</f>
        <v/>
      </c>
      <c r="C168" s="14" t="str">
        <f>IF(A168="","",UPPER(TRIM(Form_Raw_Data!C168)))</f>
        <v/>
      </c>
      <c r="D168" s="14" t="str">
        <f>IF(A168="","",UPPER(TRIM(Form_Raw_Data!D168)))</f>
        <v/>
      </c>
      <c r="E168" s="14" t="str">
        <f>IF(A168="","",TRIM(Form_Raw_Data!E168))</f>
        <v/>
      </c>
      <c r="F168" s="12" t="str">
        <f>IF(A168="","",IF(Form_Raw_Data!F168="","",Form_Raw_Data!F168&amp;""))</f>
        <v/>
      </c>
      <c r="G168" s="14" t="str">
        <f>IF(A168="","",IF(ISNUMBER(Form_Raw_Data!F168),IF(AND(Form_Raw_Data!F168&gt;=0,Form_Raw_Data!F168&lt;=24),Form_Raw_Data!F168,""),""))</f>
        <v/>
      </c>
      <c r="H168" s="14" t="str">
        <f>IF(A168="","",TRIM(Form_Raw_Data!G168))</f>
        <v/>
      </c>
      <c r="I168" s="15" t="str">
        <f t="shared" si="2"/>
        <v/>
      </c>
      <c r="J168" s="15" t="str">
        <f>IF(A168="","",IF(COUNTIF(Lists!$A$4:$A$53,C168)&gt;0,"YES","NO"))</f>
        <v/>
      </c>
      <c r="K168" s="15" t="str">
        <f>IF(A168="","",IF(COUNTIF(Lists!$I$4:$I$53,D168)&gt;0,"YES","NO"))</f>
        <v/>
      </c>
    </row>
    <row r="169" spans="1:11" x14ac:dyDescent="0.35">
      <c r="A169" s="12" t="str">
        <f>IF(Form_Raw_Data!A169="","",Form_Raw_Data!A169)</f>
        <v/>
      </c>
      <c r="B169" s="13" t="str">
        <f>IF(A169="","",Form_Raw_Data!B169)</f>
        <v/>
      </c>
      <c r="C169" s="14" t="str">
        <f>IF(A169="","",UPPER(TRIM(Form_Raw_Data!C169)))</f>
        <v/>
      </c>
      <c r="D169" s="14" t="str">
        <f>IF(A169="","",UPPER(TRIM(Form_Raw_Data!D169)))</f>
        <v/>
      </c>
      <c r="E169" s="14" t="str">
        <f>IF(A169="","",TRIM(Form_Raw_Data!E169))</f>
        <v/>
      </c>
      <c r="F169" s="12" t="str">
        <f>IF(A169="","",IF(Form_Raw_Data!F169="","",Form_Raw_Data!F169&amp;""))</f>
        <v/>
      </c>
      <c r="G169" s="14" t="str">
        <f>IF(A169="","",IF(ISNUMBER(Form_Raw_Data!F169),IF(AND(Form_Raw_Data!F169&gt;=0,Form_Raw_Data!F169&lt;=24),Form_Raw_Data!F169,""),""))</f>
        <v/>
      </c>
      <c r="H169" s="14" t="str">
        <f>IF(A169="","",TRIM(Form_Raw_Data!G169))</f>
        <v/>
      </c>
      <c r="I169" s="15" t="str">
        <f t="shared" si="2"/>
        <v/>
      </c>
      <c r="J169" s="15" t="str">
        <f>IF(A169="","",IF(COUNTIF(Lists!$A$4:$A$53,C169)&gt;0,"YES","NO"))</f>
        <v/>
      </c>
      <c r="K169" s="15" t="str">
        <f>IF(A169="","",IF(COUNTIF(Lists!$I$4:$I$53,D169)&gt;0,"YES","NO"))</f>
        <v/>
      </c>
    </row>
    <row r="170" spans="1:11" x14ac:dyDescent="0.35">
      <c r="A170" s="12" t="str">
        <f>IF(Form_Raw_Data!A170="","",Form_Raw_Data!A170)</f>
        <v/>
      </c>
      <c r="B170" s="13" t="str">
        <f>IF(A170="","",Form_Raw_Data!B170)</f>
        <v/>
      </c>
      <c r="C170" s="14" t="str">
        <f>IF(A170="","",UPPER(TRIM(Form_Raw_Data!C170)))</f>
        <v/>
      </c>
      <c r="D170" s="14" t="str">
        <f>IF(A170="","",UPPER(TRIM(Form_Raw_Data!D170)))</f>
        <v/>
      </c>
      <c r="E170" s="14" t="str">
        <f>IF(A170="","",TRIM(Form_Raw_Data!E170))</f>
        <v/>
      </c>
      <c r="F170" s="12" t="str">
        <f>IF(A170="","",IF(Form_Raw_Data!F170="","",Form_Raw_Data!F170&amp;""))</f>
        <v/>
      </c>
      <c r="G170" s="14" t="str">
        <f>IF(A170="","",IF(ISNUMBER(Form_Raw_Data!F170),IF(AND(Form_Raw_Data!F170&gt;=0,Form_Raw_Data!F170&lt;=24),Form_Raw_Data!F170,""),""))</f>
        <v/>
      </c>
      <c r="H170" s="14" t="str">
        <f>IF(A170="","",TRIM(Form_Raw_Data!G170))</f>
        <v/>
      </c>
      <c r="I170" s="15" t="str">
        <f t="shared" si="2"/>
        <v/>
      </c>
      <c r="J170" s="15" t="str">
        <f>IF(A170="","",IF(COUNTIF(Lists!$A$4:$A$53,C170)&gt;0,"YES","NO"))</f>
        <v/>
      </c>
      <c r="K170" s="15" t="str">
        <f>IF(A170="","",IF(COUNTIF(Lists!$I$4:$I$53,D170)&gt;0,"YES","NO"))</f>
        <v/>
      </c>
    </row>
    <row r="171" spans="1:11" x14ac:dyDescent="0.35">
      <c r="A171" s="12" t="str">
        <f>IF(Form_Raw_Data!A171="","",Form_Raw_Data!A171)</f>
        <v/>
      </c>
      <c r="B171" s="13" t="str">
        <f>IF(A171="","",Form_Raw_Data!B171)</f>
        <v/>
      </c>
      <c r="C171" s="14" t="str">
        <f>IF(A171="","",UPPER(TRIM(Form_Raw_Data!C171)))</f>
        <v/>
      </c>
      <c r="D171" s="14" t="str">
        <f>IF(A171="","",UPPER(TRIM(Form_Raw_Data!D171)))</f>
        <v/>
      </c>
      <c r="E171" s="14" t="str">
        <f>IF(A171="","",TRIM(Form_Raw_Data!E171))</f>
        <v/>
      </c>
      <c r="F171" s="12" t="str">
        <f>IF(A171="","",IF(Form_Raw_Data!F171="","",Form_Raw_Data!F171&amp;""))</f>
        <v/>
      </c>
      <c r="G171" s="14" t="str">
        <f>IF(A171="","",IF(ISNUMBER(Form_Raw_Data!F171),IF(AND(Form_Raw_Data!F171&gt;=0,Form_Raw_Data!F171&lt;=24),Form_Raw_Data!F171,""),""))</f>
        <v/>
      </c>
      <c r="H171" s="14" t="str">
        <f>IF(A171="","",TRIM(Form_Raw_Data!G171))</f>
        <v/>
      </c>
      <c r="I171" s="15" t="str">
        <f t="shared" si="2"/>
        <v/>
      </c>
      <c r="J171" s="15" t="str">
        <f>IF(A171="","",IF(COUNTIF(Lists!$A$4:$A$53,C171)&gt;0,"YES","NO"))</f>
        <v/>
      </c>
      <c r="K171" s="15" t="str">
        <f>IF(A171="","",IF(COUNTIF(Lists!$I$4:$I$53,D171)&gt;0,"YES","NO"))</f>
        <v/>
      </c>
    </row>
    <row r="172" spans="1:11" x14ac:dyDescent="0.35">
      <c r="A172" s="12" t="str">
        <f>IF(Form_Raw_Data!A172="","",Form_Raw_Data!A172)</f>
        <v/>
      </c>
      <c r="B172" s="13" t="str">
        <f>IF(A172="","",Form_Raw_Data!B172)</f>
        <v/>
      </c>
      <c r="C172" s="14" t="str">
        <f>IF(A172="","",UPPER(TRIM(Form_Raw_Data!C172)))</f>
        <v/>
      </c>
      <c r="D172" s="14" t="str">
        <f>IF(A172="","",UPPER(TRIM(Form_Raw_Data!D172)))</f>
        <v/>
      </c>
      <c r="E172" s="14" t="str">
        <f>IF(A172="","",TRIM(Form_Raw_Data!E172))</f>
        <v/>
      </c>
      <c r="F172" s="12" t="str">
        <f>IF(A172="","",IF(Form_Raw_Data!F172="","",Form_Raw_Data!F172&amp;""))</f>
        <v/>
      </c>
      <c r="G172" s="14" t="str">
        <f>IF(A172="","",IF(ISNUMBER(Form_Raw_Data!F172),IF(AND(Form_Raw_Data!F172&gt;=0,Form_Raw_Data!F172&lt;=24),Form_Raw_Data!F172,""),""))</f>
        <v/>
      </c>
      <c r="H172" s="14" t="str">
        <f>IF(A172="","",TRIM(Form_Raw_Data!G172))</f>
        <v/>
      </c>
      <c r="I172" s="15" t="str">
        <f t="shared" si="2"/>
        <v/>
      </c>
      <c r="J172" s="15" t="str">
        <f>IF(A172="","",IF(COUNTIF(Lists!$A$4:$A$53,C172)&gt;0,"YES","NO"))</f>
        <v/>
      </c>
      <c r="K172" s="15" t="str">
        <f>IF(A172="","",IF(COUNTIF(Lists!$I$4:$I$53,D172)&gt;0,"YES","NO"))</f>
        <v/>
      </c>
    </row>
    <row r="173" spans="1:11" x14ac:dyDescent="0.35">
      <c r="A173" s="12" t="str">
        <f>IF(Form_Raw_Data!A173="","",Form_Raw_Data!A173)</f>
        <v/>
      </c>
      <c r="B173" s="13" t="str">
        <f>IF(A173="","",Form_Raw_Data!B173)</f>
        <v/>
      </c>
      <c r="C173" s="14" t="str">
        <f>IF(A173="","",UPPER(TRIM(Form_Raw_Data!C173)))</f>
        <v/>
      </c>
      <c r="D173" s="14" t="str">
        <f>IF(A173="","",UPPER(TRIM(Form_Raw_Data!D173)))</f>
        <v/>
      </c>
      <c r="E173" s="14" t="str">
        <f>IF(A173="","",TRIM(Form_Raw_Data!E173))</f>
        <v/>
      </c>
      <c r="F173" s="12" t="str">
        <f>IF(A173="","",IF(Form_Raw_Data!F173="","",Form_Raw_Data!F173&amp;""))</f>
        <v/>
      </c>
      <c r="G173" s="14" t="str">
        <f>IF(A173="","",IF(ISNUMBER(Form_Raw_Data!F173),IF(AND(Form_Raw_Data!F173&gt;=0,Form_Raw_Data!F173&lt;=24),Form_Raw_Data!F173,""),""))</f>
        <v/>
      </c>
      <c r="H173" s="14" t="str">
        <f>IF(A173="","",TRIM(Form_Raw_Data!G173))</f>
        <v/>
      </c>
      <c r="I173" s="15" t="str">
        <f t="shared" si="2"/>
        <v/>
      </c>
      <c r="J173" s="15" t="str">
        <f>IF(A173="","",IF(COUNTIF(Lists!$A$4:$A$53,C173)&gt;0,"YES","NO"))</f>
        <v/>
      </c>
      <c r="K173" s="15" t="str">
        <f>IF(A173="","",IF(COUNTIF(Lists!$I$4:$I$53,D173)&gt;0,"YES","NO"))</f>
        <v/>
      </c>
    </row>
    <row r="174" spans="1:11" x14ac:dyDescent="0.35">
      <c r="A174" s="12" t="str">
        <f>IF(Form_Raw_Data!A174="","",Form_Raw_Data!A174)</f>
        <v/>
      </c>
      <c r="B174" s="13" t="str">
        <f>IF(A174="","",Form_Raw_Data!B174)</f>
        <v/>
      </c>
      <c r="C174" s="14" t="str">
        <f>IF(A174="","",UPPER(TRIM(Form_Raw_Data!C174)))</f>
        <v/>
      </c>
      <c r="D174" s="14" t="str">
        <f>IF(A174="","",UPPER(TRIM(Form_Raw_Data!D174)))</f>
        <v/>
      </c>
      <c r="E174" s="14" t="str">
        <f>IF(A174="","",TRIM(Form_Raw_Data!E174))</f>
        <v/>
      </c>
      <c r="F174" s="12" t="str">
        <f>IF(A174="","",IF(Form_Raw_Data!F174="","",Form_Raw_Data!F174&amp;""))</f>
        <v/>
      </c>
      <c r="G174" s="14" t="str">
        <f>IF(A174="","",IF(ISNUMBER(Form_Raw_Data!F174),IF(AND(Form_Raw_Data!F174&gt;=0,Form_Raw_Data!F174&lt;=24),Form_Raw_Data!F174,""),""))</f>
        <v/>
      </c>
      <c r="H174" s="14" t="str">
        <f>IF(A174="","",TRIM(Form_Raw_Data!G174))</f>
        <v/>
      </c>
      <c r="I174" s="15" t="str">
        <f t="shared" si="2"/>
        <v/>
      </c>
      <c r="J174" s="15" t="str">
        <f>IF(A174="","",IF(COUNTIF(Lists!$A$4:$A$53,C174)&gt;0,"YES","NO"))</f>
        <v/>
      </c>
      <c r="K174" s="15" t="str">
        <f>IF(A174="","",IF(COUNTIF(Lists!$I$4:$I$53,D174)&gt;0,"YES","NO"))</f>
        <v/>
      </c>
    </row>
    <row r="175" spans="1:11" x14ac:dyDescent="0.35">
      <c r="A175" s="12" t="str">
        <f>IF(Form_Raw_Data!A175="","",Form_Raw_Data!A175)</f>
        <v/>
      </c>
      <c r="B175" s="13" t="str">
        <f>IF(A175="","",Form_Raw_Data!B175)</f>
        <v/>
      </c>
      <c r="C175" s="14" t="str">
        <f>IF(A175="","",UPPER(TRIM(Form_Raw_Data!C175)))</f>
        <v/>
      </c>
      <c r="D175" s="14" t="str">
        <f>IF(A175="","",UPPER(TRIM(Form_Raw_Data!D175)))</f>
        <v/>
      </c>
      <c r="E175" s="14" t="str">
        <f>IF(A175="","",TRIM(Form_Raw_Data!E175))</f>
        <v/>
      </c>
      <c r="F175" s="12" t="str">
        <f>IF(A175="","",IF(Form_Raw_Data!F175="","",Form_Raw_Data!F175&amp;""))</f>
        <v/>
      </c>
      <c r="G175" s="14" t="str">
        <f>IF(A175="","",IF(ISNUMBER(Form_Raw_Data!F175),IF(AND(Form_Raw_Data!F175&gt;=0,Form_Raw_Data!F175&lt;=24),Form_Raw_Data!F175,""),""))</f>
        <v/>
      </c>
      <c r="H175" s="14" t="str">
        <f>IF(A175="","",TRIM(Form_Raw_Data!G175))</f>
        <v/>
      </c>
      <c r="I175" s="15" t="str">
        <f t="shared" si="2"/>
        <v/>
      </c>
      <c r="J175" s="15" t="str">
        <f>IF(A175="","",IF(COUNTIF(Lists!$A$4:$A$53,C175)&gt;0,"YES","NO"))</f>
        <v/>
      </c>
      <c r="K175" s="15" t="str">
        <f>IF(A175="","",IF(COUNTIF(Lists!$I$4:$I$53,D175)&gt;0,"YES","NO"))</f>
        <v/>
      </c>
    </row>
    <row r="176" spans="1:11" x14ac:dyDescent="0.35">
      <c r="A176" s="12" t="str">
        <f>IF(Form_Raw_Data!A176="","",Form_Raw_Data!A176)</f>
        <v/>
      </c>
      <c r="B176" s="13" t="str">
        <f>IF(A176="","",Form_Raw_Data!B176)</f>
        <v/>
      </c>
      <c r="C176" s="14" t="str">
        <f>IF(A176="","",UPPER(TRIM(Form_Raw_Data!C176)))</f>
        <v/>
      </c>
      <c r="D176" s="14" t="str">
        <f>IF(A176="","",UPPER(TRIM(Form_Raw_Data!D176)))</f>
        <v/>
      </c>
      <c r="E176" s="14" t="str">
        <f>IF(A176="","",TRIM(Form_Raw_Data!E176))</f>
        <v/>
      </c>
      <c r="F176" s="12" t="str">
        <f>IF(A176="","",IF(Form_Raw_Data!F176="","",Form_Raw_Data!F176&amp;""))</f>
        <v/>
      </c>
      <c r="G176" s="14" t="str">
        <f>IF(A176="","",IF(ISNUMBER(Form_Raw_Data!F176),IF(AND(Form_Raw_Data!F176&gt;=0,Form_Raw_Data!F176&lt;=24),Form_Raw_Data!F176,""),""))</f>
        <v/>
      </c>
      <c r="H176" s="14" t="str">
        <f>IF(A176="","",TRIM(Form_Raw_Data!G176))</f>
        <v/>
      </c>
      <c r="I176" s="15" t="str">
        <f t="shared" si="2"/>
        <v/>
      </c>
      <c r="J176" s="15" t="str">
        <f>IF(A176="","",IF(COUNTIF(Lists!$A$4:$A$53,C176)&gt;0,"YES","NO"))</f>
        <v/>
      </c>
      <c r="K176" s="15" t="str">
        <f>IF(A176="","",IF(COUNTIF(Lists!$I$4:$I$53,D176)&gt;0,"YES","NO"))</f>
        <v/>
      </c>
    </row>
    <row r="177" spans="1:11" x14ac:dyDescent="0.35">
      <c r="A177" s="12" t="str">
        <f>IF(Form_Raw_Data!A177="","",Form_Raw_Data!A177)</f>
        <v/>
      </c>
      <c r="B177" s="13" t="str">
        <f>IF(A177="","",Form_Raw_Data!B177)</f>
        <v/>
      </c>
      <c r="C177" s="14" t="str">
        <f>IF(A177="","",UPPER(TRIM(Form_Raw_Data!C177)))</f>
        <v/>
      </c>
      <c r="D177" s="14" t="str">
        <f>IF(A177="","",UPPER(TRIM(Form_Raw_Data!D177)))</f>
        <v/>
      </c>
      <c r="E177" s="14" t="str">
        <f>IF(A177="","",TRIM(Form_Raw_Data!E177))</f>
        <v/>
      </c>
      <c r="F177" s="12" t="str">
        <f>IF(A177="","",IF(Form_Raw_Data!F177="","",Form_Raw_Data!F177&amp;""))</f>
        <v/>
      </c>
      <c r="G177" s="14" t="str">
        <f>IF(A177="","",IF(ISNUMBER(Form_Raw_Data!F177),IF(AND(Form_Raw_Data!F177&gt;=0,Form_Raw_Data!F177&lt;=24),Form_Raw_Data!F177,""),""))</f>
        <v/>
      </c>
      <c r="H177" s="14" t="str">
        <f>IF(A177="","",TRIM(Form_Raw_Data!G177))</f>
        <v/>
      </c>
      <c r="I177" s="15" t="str">
        <f t="shared" si="2"/>
        <v/>
      </c>
      <c r="J177" s="15" t="str">
        <f>IF(A177="","",IF(COUNTIF(Lists!$A$4:$A$53,C177)&gt;0,"YES","NO"))</f>
        <v/>
      </c>
      <c r="K177" s="15" t="str">
        <f>IF(A177="","",IF(COUNTIF(Lists!$I$4:$I$53,D177)&gt;0,"YES","NO"))</f>
        <v/>
      </c>
    </row>
    <row r="178" spans="1:11" x14ac:dyDescent="0.35">
      <c r="A178" s="12" t="str">
        <f>IF(Form_Raw_Data!A178="","",Form_Raw_Data!A178)</f>
        <v/>
      </c>
      <c r="B178" s="13" t="str">
        <f>IF(A178="","",Form_Raw_Data!B178)</f>
        <v/>
      </c>
      <c r="C178" s="14" t="str">
        <f>IF(A178="","",UPPER(TRIM(Form_Raw_Data!C178)))</f>
        <v/>
      </c>
      <c r="D178" s="14" t="str">
        <f>IF(A178="","",UPPER(TRIM(Form_Raw_Data!D178)))</f>
        <v/>
      </c>
      <c r="E178" s="14" t="str">
        <f>IF(A178="","",TRIM(Form_Raw_Data!E178))</f>
        <v/>
      </c>
      <c r="F178" s="12" t="str">
        <f>IF(A178="","",IF(Form_Raw_Data!F178="","",Form_Raw_Data!F178&amp;""))</f>
        <v/>
      </c>
      <c r="G178" s="14" t="str">
        <f>IF(A178="","",IF(ISNUMBER(Form_Raw_Data!F178),IF(AND(Form_Raw_Data!F178&gt;=0,Form_Raw_Data!F178&lt;=24),Form_Raw_Data!F178,""),""))</f>
        <v/>
      </c>
      <c r="H178" s="14" t="str">
        <f>IF(A178="","",TRIM(Form_Raw_Data!G178))</f>
        <v/>
      </c>
      <c r="I178" s="15" t="str">
        <f t="shared" si="2"/>
        <v/>
      </c>
      <c r="J178" s="15" t="str">
        <f>IF(A178="","",IF(COUNTIF(Lists!$A$4:$A$53,C178)&gt;0,"YES","NO"))</f>
        <v/>
      </c>
      <c r="K178" s="15" t="str">
        <f>IF(A178="","",IF(COUNTIF(Lists!$I$4:$I$53,D178)&gt;0,"YES","NO"))</f>
        <v/>
      </c>
    </row>
    <row r="179" spans="1:11" x14ac:dyDescent="0.35">
      <c r="A179" s="12" t="str">
        <f>IF(Form_Raw_Data!A179="","",Form_Raw_Data!A179)</f>
        <v/>
      </c>
      <c r="B179" s="13" t="str">
        <f>IF(A179="","",Form_Raw_Data!B179)</f>
        <v/>
      </c>
      <c r="C179" s="14" t="str">
        <f>IF(A179="","",UPPER(TRIM(Form_Raw_Data!C179)))</f>
        <v/>
      </c>
      <c r="D179" s="14" t="str">
        <f>IF(A179="","",UPPER(TRIM(Form_Raw_Data!D179)))</f>
        <v/>
      </c>
      <c r="E179" s="14" t="str">
        <f>IF(A179="","",TRIM(Form_Raw_Data!E179))</f>
        <v/>
      </c>
      <c r="F179" s="12" t="str">
        <f>IF(A179="","",IF(Form_Raw_Data!F179="","",Form_Raw_Data!F179&amp;""))</f>
        <v/>
      </c>
      <c r="G179" s="14" t="str">
        <f>IF(A179="","",IF(ISNUMBER(Form_Raw_Data!F179),IF(AND(Form_Raw_Data!F179&gt;=0,Form_Raw_Data!F179&lt;=24),Form_Raw_Data!F179,""),""))</f>
        <v/>
      </c>
      <c r="H179" s="14" t="str">
        <f>IF(A179="","",TRIM(Form_Raw_Data!G179))</f>
        <v/>
      </c>
      <c r="I179" s="15" t="str">
        <f t="shared" si="2"/>
        <v/>
      </c>
      <c r="J179" s="15" t="str">
        <f>IF(A179="","",IF(COUNTIF(Lists!$A$4:$A$53,C179)&gt;0,"YES","NO"))</f>
        <v/>
      </c>
      <c r="K179" s="15" t="str">
        <f>IF(A179="","",IF(COUNTIF(Lists!$I$4:$I$53,D179)&gt;0,"YES","NO"))</f>
        <v/>
      </c>
    </row>
    <row r="180" spans="1:11" x14ac:dyDescent="0.35">
      <c r="A180" s="12" t="str">
        <f>IF(Form_Raw_Data!A180="","",Form_Raw_Data!A180)</f>
        <v/>
      </c>
      <c r="B180" s="13" t="str">
        <f>IF(A180="","",Form_Raw_Data!B180)</f>
        <v/>
      </c>
      <c r="C180" s="14" t="str">
        <f>IF(A180="","",UPPER(TRIM(Form_Raw_Data!C180)))</f>
        <v/>
      </c>
      <c r="D180" s="14" t="str">
        <f>IF(A180="","",UPPER(TRIM(Form_Raw_Data!D180)))</f>
        <v/>
      </c>
      <c r="E180" s="14" t="str">
        <f>IF(A180="","",TRIM(Form_Raw_Data!E180))</f>
        <v/>
      </c>
      <c r="F180" s="12" t="str">
        <f>IF(A180="","",IF(Form_Raw_Data!F180="","",Form_Raw_Data!F180&amp;""))</f>
        <v/>
      </c>
      <c r="G180" s="14" t="str">
        <f>IF(A180="","",IF(ISNUMBER(Form_Raw_Data!F180),IF(AND(Form_Raw_Data!F180&gt;=0,Form_Raw_Data!F180&lt;=24),Form_Raw_Data!F180,""),""))</f>
        <v/>
      </c>
      <c r="H180" s="14" t="str">
        <f>IF(A180="","",TRIM(Form_Raw_Data!G180))</f>
        <v/>
      </c>
      <c r="I180" s="15" t="str">
        <f t="shared" si="2"/>
        <v/>
      </c>
      <c r="J180" s="15" t="str">
        <f>IF(A180="","",IF(COUNTIF(Lists!$A$4:$A$53,C180)&gt;0,"YES","NO"))</f>
        <v/>
      </c>
      <c r="K180" s="15" t="str">
        <f>IF(A180="","",IF(COUNTIF(Lists!$I$4:$I$53,D180)&gt;0,"YES","NO"))</f>
        <v/>
      </c>
    </row>
    <row r="181" spans="1:11" x14ac:dyDescent="0.35">
      <c r="A181" s="12" t="str">
        <f>IF(Form_Raw_Data!A181="","",Form_Raw_Data!A181)</f>
        <v/>
      </c>
      <c r="B181" s="13" t="str">
        <f>IF(A181="","",Form_Raw_Data!B181)</f>
        <v/>
      </c>
      <c r="C181" s="14" t="str">
        <f>IF(A181="","",UPPER(TRIM(Form_Raw_Data!C181)))</f>
        <v/>
      </c>
      <c r="D181" s="14" t="str">
        <f>IF(A181="","",UPPER(TRIM(Form_Raw_Data!D181)))</f>
        <v/>
      </c>
      <c r="E181" s="14" t="str">
        <f>IF(A181="","",TRIM(Form_Raw_Data!E181))</f>
        <v/>
      </c>
      <c r="F181" s="12" t="str">
        <f>IF(A181="","",IF(Form_Raw_Data!F181="","",Form_Raw_Data!F181&amp;""))</f>
        <v/>
      </c>
      <c r="G181" s="14" t="str">
        <f>IF(A181="","",IF(ISNUMBER(Form_Raw_Data!F181),IF(AND(Form_Raw_Data!F181&gt;=0,Form_Raw_Data!F181&lt;=24),Form_Raw_Data!F181,""),""))</f>
        <v/>
      </c>
      <c r="H181" s="14" t="str">
        <f>IF(A181="","",TRIM(Form_Raw_Data!G181))</f>
        <v/>
      </c>
      <c r="I181" s="15" t="str">
        <f t="shared" si="2"/>
        <v/>
      </c>
      <c r="J181" s="15" t="str">
        <f>IF(A181="","",IF(COUNTIF(Lists!$A$4:$A$53,C181)&gt;0,"YES","NO"))</f>
        <v/>
      </c>
      <c r="K181" s="15" t="str">
        <f>IF(A181="","",IF(COUNTIF(Lists!$I$4:$I$53,D181)&gt;0,"YES","NO"))</f>
        <v/>
      </c>
    </row>
    <row r="182" spans="1:11" x14ac:dyDescent="0.35">
      <c r="A182" s="12" t="str">
        <f>IF(Form_Raw_Data!A182="","",Form_Raw_Data!A182)</f>
        <v/>
      </c>
      <c r="B182" s="13" t="str">
        <f>IF(A182="","",Form_Raw_Data!B182)</f>
        <v/>
      </c>
      <c r="C182" s="14" t="str">
        <f>IF(A182="","",UPPER(TRIM(Form_Raw_Data!C182)))</f>
        <v/>
      </c>
      <c r="D182" s="14" t="str">
        <f>IF(A182="","",UPPER(TRIM(Form_Raw_Data!D182)))</f>
        <v/>
      </c>
      <c r="E182" s="14" t="str">
        <f>IF(A182="","",TRIM(Form_Raw_Data!E182))</f>
        <v/>
      </c>
      <c r="F182" s="12" t="str">
        <f>IF(A182="","",IF(Form_Raw_Data!F182="","",Form_Raw_Data!F182&amp;""))</f>
        <v/>
      </c>
      <c r="G182" s="14" t="str">
        <f>IF(A182="","",IF(ISNUMBER(Form_Raw_Data!F182),IF(AND(Form_Raw_Data!F182&gt;=0,Form_Raw_Data!F182&lt;=24),Form_Raw_Data!F182,""),""))</f>
        <v/>
      </c>
      <c r="H182" s="14" t="str">
        <f>IF(A182="","",TRIM(Form_Raw_Data!G182))</f>
        <v/>
      </c>
      <c r="I182" s="15" t="str">
        <f t="shared" si="2"/>
        <v/>
      </c>
      <c r="J182" s="15" t="str">
        <f>IF(A182="","",IF(COUNTIF(Lists!$A$4:$A$53,C182)&gt;0,"YES","NO"))</f>
        <v/>
      </c>
      <c r="K182" s="15" t="str">
        <f>IF(A182="","",IF(COUNTIF(Lists!$I$4:$I$53,D182)&gt;0,"YES","NO"))</f>
        <v/>
      </c>
    </row>
    <row r="183" spans="1:11" x14ac:dyDescent="0.35">
      <c r="A183" s="12" t="str">
        <f>IF(Form_Raw_Data!A183="","",Form_Raw_Data!A183)</f>
        <v/>
      </c>
      <c r="B183" s="13" t="str">
        <f>IF(A183="","",Form_Raw_Data!B183)</f>
        <v/>
      </c>
      <c r="C183" s="14" t="str">
        <f>IF(A183="","",UPPER(TRIM(Form_Raw_Data!C183)))</f>
        <v/>
      </c>
      <c r="D183" s="14" t="str">
        <f>IF(A183="","",UPPER(TRIM(Form_Raw_Data!D183)))</f>
        <v/>
      </c>
      <c r="E183" s="14" t="str">
        <f>IF(A183="","",TRIM(Form_Raw_Data!E183))</f>
        <v/>
      </c>
      <c r="F183" s="12" t="str">
        <f>IF(A183="","",IF(Form_Raw_Data!F183="","",Form_Raw_Data!F183&amp;""))</f>
        <v/>
      </c>
      <c r="G183" s="14" t="str">
        <f>IF(A183="","",IF(ISNUMBER(Form_Raw_Data!F183),IF(AND(Form_Raw_Data!F183&gt;=0,Form_Raw_Data!F183&lt;=24),Form_Raw_Data!F183,""),""))</f>
        <v/>
      </c>
      <c r="H183" s="14" t="str">
        <f>IF(A183="","",TRIM(Form_Raw_Data!G183))</f>
        <v/>
      </c>
      <c r="I183" s="15" t="str">
        <f t="shared" si="2"/>
        <v/>
      </c>
      <c r="J183" s="15" t="str">
        <f>IF(A183="","",IF(COUNTIF(Lists!$A$4:$A$53,C183)&gt;0,"YES","NO"))</f>
        <v/>
      </c>
      <c r="K183" s="15" t="str">
        <f>IF(A183="","",IF(COUNTIF(Lists!$I$4:$I$53,D183)&gt;0,"YES","NO"))</f>
        <v/>
      </c>
    </row>
    <row r="184" spans="1:11" x14ac:dyDescent="0.35">
      <c r="A184" s="12" t="str">
        <f>IF(Form_Raw_Data!A184="","",Form_Raw_Data!A184)</f>
        <v/>
      </c>
      <c r="B184" s="13" t="str">
        <f>IF(A184="","",Form_Raw_Data!B184)</f>
        <v/>
      </c>
      <c r="C184" s="14" t="str">
        <f>IF(A184="","",UPPER(TRIM(Form_Raw_Data!C184)))</f>
        <v/>
      </c>
      <c r="D184" s="14" t="str">
        <f>IF(A184="","",UPPER(TRIM(Form_Raw_Data!D184)))</f>
        <v/>
      </c>
      <c r="E184" s="14" t="str">
        <f>IF(A184="","",TRIM(Form_Raw_Data!E184))</f>
        <v/>
      </c>
      <c r="F184" s="12" t="str">
        <f>IF(A184="","",IF(Form_Raw_Data!F184="","",Form_Raw_Data!F184&amp;""))</f>
        <v/>
      </c>
      <c r="G184" s="14" t="str">
        <f>IF(A184="","",IF(ISNUMBER(Form_Raw_Data!F184),IF(AND(Form_Raw_Data!F184&gt;=0,Form_Raw_Data!F184&lt;=24),Form_Raw_Data!F184,""),""))</f>
        <v/>
      </c>
      <c r="H184" s="14" t="str">
        <f>IF(A184="","",TRIM(Form_Raw_Data!G184))</f>
        <v/>
      </c>
      <c r="I184" s="15" t="str">
        <f t="shared" si="2"/>
        <v/>
      </c>
      <c r="J184" s="15" t="str">
        <f>IF(A184="","",IF(COUNTIF(Lists!$A$4:$A$53,C184)&gt;0,"YES","NO"))</f>
        <v/>
      </c>
      <c r="K184" s="15" t="str">
        <f>IF(A184="","",IF(COUNTIF(Lists!$I$4:$I$53,D184)&gt;0,"YES","NO"))</f>
        <v/>
      </c>
    </row>
    <row r="185" spans="1:11" x14ac:dyDescent="0.35">
      <c r="A185" s="12" t="str">
        <f>IF(Form_Raw_Data!A185="","",Form_Raw_Data!A185)</f>
        <v/>
      </c>
      <c r="B185" s="13" t="str">
        <f>IF(A185="","",Form_Raw_Data!B185)</f>
        <v/>
      </c>
      <c r="C185" s="14" t="str">
        <f>IF(A185="","",UPPER(TRIM(Form_Raw_Data!C185)))</f>
        <v/>
      </c>
      <c r="D185" s="14" t="str">
        <f>IF(A185="","",UPPER(TRIM(Form_Raw_Data!D185)))</f>
        <v/>
      </c>
      <c r="E185" s="14" t="str">
        <f>IF(A185="","",TRIM(Form_Raw_Data!E185))</f>
        <v/>
      </c>
      <c r="F185" s="12" t="str">
        <f>IF(A185="","",IF(Form_Raw_Data!F185="","",Form_Raw_Data!F185&amp;""))</f>
        <v/>
      </c>
      <c r="G185" s="14" t="str">
        <f>IF(A185="","",IF(ISNUMBER(Form_Raw_Data!F185),IF(AND(Form_Raw_Data!F185&gt;=0,Form_Raw_Data!F185&lt;=24),Form_Raw_Data!F185,""),""))</f>
        <v/>
      </c>
      <c r="H185" s="14" t="str">
        <f>IF(A185="","",TRIM(Form_Raw_Data!G185))</f>
        <v/>
      </c>
      <c r="I185" s="15" t="str">
        <f t="shared" si="2"/>
        <v/>
      </c>
      <c r="J185" s="15" t="str">
        <f>IF(A185="","",IF(COUNTIF(Lists!$A$4:$A$53,C185)&gt;0,"YES","NO"))</f>
        <v/>
      </c>
      <c r="K185" s="15" t="str">
        <f>IF(A185="","",IF(COUNTIF(Lists!$I$4:$I$53,D185)&gt;0,"YES","NO"))</f>
        <v/>
      </c>
    </row>
    <row r="186" spans="1:11" x14ac:dyDescent="0.35">
      <c r="A186" s="12" t="str">
        <f>IF(Form_Raw_Data!A186="","",Form_Raw_Data!A186)</f>
        <v/>
      </c>
      <c r="B186" s="13" t="str">
        <f>IF(A186="","",Form_Raw_Data!B186)</f>
        <v/>
      </c>
      <c r="C186" s="14" t="str">
        <f>IF(A186="","",UPPER(TRIM(Form_Raw_Data!C186)))</f>
        <v/>
      </c>
      <c r="D186" s="14" t="str">
        <f>IF(A186="","",UPPER(TRIM(Form_Raw_Data!D186)))</f>
        <v/>
      </c>
      <c r="E186" s="14" t="str">
        <f>IF(A186="","",TRIM(Form_Raw_Data!E186))</f>
        <v/>
      </c>
      <c r="F186" s="12" t="str">
        <f>IF(A186="","",IF(Form_Raw_Data!F186="","",Form_Raw_Data!F186&amp;""))</f>
        <v/>
      </c>
      <c r="G186" s="14" t="str">
        <f>IF(A186="","",IF(ISNUMBER(Form_Raw_Data!F186),IF(AND(Form_Raw_Data!F186&gt;=0,Form_Raw_Data!F186&lt;=24),Form_Raw_Data!F186,""),""))</f>
        <v/>
      </c>
      <c r="H186" s="14" t="str">
        <f>IF(A186="","",TRIM(Form_Raw_Data!G186))</f>
        <v/>
      </c>
      <c r="I186" s="15" t="str">
        <f t="shared" si="2"/>
        <v/>
      </c>
      <c r="J186" s="15" t="str">
        <f>IF(A186="","",IF(COUNTIF(Lists!$A$4:$A$53,C186)&gt;0,"YES","NO"))</f>
        <v/>
      </c>
      <c r="K186" s="15" t="str">
        <f>IF(A186="","",IF(COUNTIF(Lists!$I$4:$I$53,D186)&gt;0,"YES","NO"))</f>
        <v/>
      </c>
    </row>
    <row r="187" spans="1:11" x14ac:dyDescent="0.35">
      <c r="A187" s="12" t="str">
        <f>IF(Form_Raw_Data!A187="","",Form_Raw_Data!A187)</f>
        <v/>
      </c>
      <c r="B187" s="13" t="str">
        <f>IF(A187="","",Form_Raw_Data!B187)</f>
        <v/>
      </c>
      <c r="C187" s="14" t="str">
        <f>IF(A187="","",UPPER(TRIM(Form_Raw_Data!C187)))</f>
        <v/>
      </c>
      <c r="D187" s="14" t="str">
        <f>IF(A187="","",UPPER(TRIM(Form_Raw_Data!D187)))</f>
        <v/>
      </c>
      <c r="E187" s="14" t="str">
        <f>IF(A187="","",TRIM(Form_Raw_Data!E187))</f>
        <v/>
      </c>
      <c r="F187" s="12" t="str">
        <f>IF(A187="","",IF(Form_Raw_Data!F187="","",Form_Raw_Data!F187&amp;""))</f>
        <v/>
      </c>
      <c r="G187" s="14" t="str">
        <f>IF(A187="","",IF(ISNUMBER(Form_Raw_Data!F187),IF(AND(Form_Raw_Data!F187&gt;=0,Form_Raw_Data!F187&lt;=24),Form_Raw_Data!F187,""),""))</f>
        <v/>
      </c>
      <c r="H187" s="14" t="str">
        <f>IF(A187="","",TRIM(Form_Raw_Data!G187))</f>
        <v/>
      </c>
      <c r="I187" s="15" t="str">
        <f t="shared" si="2"/>
        <v/>
      </c>
      <c r="J187" s="15" t="str">
        <f>IF(A187="","",IF(COUNTIF(Lists!$A$4:$A$53,C187)&gt;0,"YES","NO"))</f>
        <v/>
      </c>
      <c r="K187" s="15" t="str">
        <f>IF(A187="","",IF(COUNTIF(Lists!$I$4:$I$53,D187)&gt;0,"YES","NO"))</f>
        <v/>
      </c>
    </row>
    <row r="188" spans="1:11" x14ac:dyDescent="0.35">
      <c r="A188" s="12" t="str">
        <f>IF(Form_Raw_Data!A188="","",Form_Raw_Data!A188)</f>
        <v/>
      </c>
      <c r="B188" s="13" t="str">
        <f>IF(A188="","",Form_Raw_Data!B188)</f>
        <v/>
      </c>
      <c r="C188" s="14" t="str">
        <f>IF(A188="","",UPPER(TRIM(Form_Raw_Data!C188)))</f>
        <v/>
      </c>
      <c r="D188" s="14" t="str">
        <f>IF(A188="","",UPPER(TRIM(Form_Raw_Data!D188)))</f>
        <v/>
      </c>
      <c r="E188" s="14" t="str">
        <f>IF(A188="","",TRIM(Form_Raw_Data!E188))</f>
        <v/>
      </c>
      <c r="F188" s="12" t="str">
        <f>IF(A188="","",IF(Form_Raw_Data!F188="","",Form_Raw_Data!F188&amp;""))</f>
        <v/>
      </c>
      <c r="G188" s="14" t="str">
        <f>IF(A188="","",IF(ISNUMBER(Form_Raw_Data!F188),IF(AND(Form_Raw_Data!F188&gt;=0,Form_Raw_Data!F188&lt;=24),Form_Raw_Data!F188,""),""))</f>
        <v/>
      </c>
      <c r="H188" s="14" t="str">
        <f>IF(A188="","",TRIM(Form_Raw_Data!G188))</f>
        <v/>
      </c>
      <c r="I188" s="15" t="str">
        <f t="shared" si="2"/>
        <v/>
      </c>
      <c r="J188" s="15" t="str">
        <f>IF(A188="","",IF(COUNTIF(Lists!$A$4:$A$53,C188)&gt;0,"YES","NO"))</f>
        <v/>
      </c>
      <c r="K188" s="15" t="str">
        <f>IF(A188="","",IF(COUNTIF(Lists!$I$4:$I$53,D188)&gt;0,"YES","NO"))</f>
        <v/>
      </c>
    </row>
    <row r="189" spans="1:11" x14ac:dyDescent="0.35">
      <c r="A189" s="12" t="str">
        <f>IF(Form_Raw_Data!A189="","",Form_Raw_Data!A189)</f>
        <v/>
      </c>
      <c r="B189" s="13" t="str">
        <f>IF(A189="","",Form_Raw_Data!B189)</f>
        <v/>
      </c>
      <c r="C189" s="14" t="str">
        <f>IF(A189="","",UPPER(TRIM(Form_Raw_Data!C189)))</f>
        <v/>
      </c>
      <c r="D189" s="14" t="str">
        <f>IF(A189="","",UPPER(TRIM(Form_Raw_Data!D189)))</f>
        <v/>
      </c>
      <c r="E189" s="14" t="str">
        <f>IF(A189="","",TRIM(Form_Raw_Data!E189))</f>
        <v/>
      </c>
      <c r="F189" s="12" t="str">
        <f>IF(A189="","",IF(Form_Raw_Data!F189="","",Form_Raw_Data!F189&amp;""))</f>
        <v/>
      </c>
      <c r="G189" s="14" t="str">
        <f>IF(A189="","",IF(ISNUMBER(Form_Raw_Data!F189),IF(AND(Form_Raw_Data!F189&gt;=0,Form_Raw_Data!F189&lt;=24),Form_Raw_Data!F189,""),""))</f>
        <v/>
      </c>
      <c r="H189" s="14" t="str">
        <f>IF(A189="","",TRIM(Form_Raw_Data!G189))</f>
        <v/>
      </c>
      <c r="I189" s="15" t="str">
        <f t="shared" si="2"/>
        <v/>
      </c>
      <c r="J189" s="15" t="str">
        <f>IF(A189="","",IF(COUNTIF(Lists!$A$4:$A$53,C189)&gt;0,"YES","NO"))</f>
        <v/>
      </c>
      <c r="K189" s="15" t="str">
        <f>IF(A189="","",IF(COUNTIF(Lists!$I$4:$I$53,D189)&gt;0,"YES","NO"))</f>
        <v/>
      </c>
    </row>
    <row r="190" spans="1:11" x14ac:dyDescent="0.35">
      <c r="A190" s="12" t="str">
        <f>IF(Form_Raw_Data!A190="","",Form_Raw_Data!A190)</f>
        <v/>
      </c>
      <c r="B190" s="13" t="str">
        <f>IF(A190="","",Form_Raw_Data!B190)</f>
        <v/>
      </c>
      <c r="C190" s="14" t="str">
        <f>IF(A190="","",UPPER(TRIM(Form_Raw_Data!C190)))</f>
        <v/>
      </c>
      <c r="D190" s="14" t="str">
        <f>IF(A190="","",UPPER(TRIM(Form_Raw_Data!D190)))</f>
        <v/>
      </c>
      <c r="E190" s="14" t="str">
        <f>IF(A190="","",TRIM(Form_Raw_Data!E190))</f>
        <v/>
      </c>
      <c r="F190" s="12" t="str">
        <f>IF(A190="","",IF(Form_Raw_Data!F190="","",Form_Raw_Data!F190&amp;""))</f>
        <v/>
      </c>
      <c r="G190" s="14" t="str">
        <f>IF(A190="","",IF(ISNUMBER(Form_Raw_Data!F190),IF(AND(Form_Raw_Data!F190&gt;=0,Form_Raw_Data!F190&lt;=24),Form_Raw_Data!F190,""),""))</f>
        <v/>
      </c>
      <c r="H190" s="14" t="str">
        <f>IF(A190="","",TRIM(Form_Raw_Data!G190))</f>
        <v/>
      </c>
      <c r="I190" s="15" t="str">
        <f t="shared" si="2"/>
        <v/>
      </c>
      <c r="J190" s="15" t="str">
        <f>IF(A190="","",IF(COUNTIF(Lists!$A$4:$A$53,C190)&gt;0,"YES","NO"))</f>
        <v/>
      </c>
      <c r="K190" s="15" t="str">
        <f>IF(A190="","",IF(COUNTIF(Lists!$I$4:$I$53,D190)&gt;0,"YES","NO"))</f>
        <v/>
      </c>
    </row>
    <row r="191" spans="1:11" x14ac:dyDescent="0.35">
      <c r="A191" s="12" t="str">
        <f>IF(Form_Raw_Data!A191="","",Form_Raw_Data!A191)</f>
        <v/>
      </c>
      <c r="B191" s="13" t="str">
        <f>IF(A191="","",Form_Raw_Data!B191)</f>
        <v/>
      </c>
      <c r="C191" s="14" t="str">
        <f>IF(A191="","",UPPER(TRIM(Form_Raw_Data!C191)))</f>
        <v/>
      </c>
      <c r="D191" s="14" t="str">
        <f>IF(A191="","",UPPER(TRIM(Form_Raw_Data!D191)))</f>
        <v/>
      </c>
      <c r="E191" s="14" t="str">
        <f>IF(A191="","",TRIM(Form_Raw_Data!E191))</f>
        <v/>
      </c>
      <c r="F191" s="12" t="str">
        <f>IF(A191="","",IF(Form_Raw_Data!F191="","",Form_Raw_Data!F191&amp;""))</f>
        <v/>
      </c>
      <c r="G191" s="14" t="str">
        <f>IF(A191="","",IF(ISNUMBER(Form_Raw_Data!F191),IF(AND(Form_Raw_Data!F191&gt;=0,Form_Raw_Data!F191&lt;=24),Form_Raw_Data!F191,""),""))</f>
        <v/>
      </c>
      <c r="H191" s="14" t="str">
        <f>IF(A191="","",TRIM(Form_Raw_Data!G191))</f>
        <v/>
      </c>
      <c r="I191" s="15" t="str">
        <f t="shared" si="2"/>
        <v/>
      </c>
      <c r="J191" s="15" t="str">
        <f>IF(A191="","",IF(COUNTIF(Lists!$A$4:$A$53,C191)&gt;0,"YES","NO"))</f>
        <v/>
      </c>
      <c r="K191" s="15" t="str">
        <f>IF(A191="","",IF(COUNTIF(Lists!$I$4:$I$53,D191)&gt;0,"YES","NO"))</f>
        <v/>
      </c>
    </row>
    <row r="192" spans="1:11" x14ac:dyDescent="0.35">
      <c r="A192" s="12" t="str">
        <f>IF(Form_Raw_Data!A192="","",Form_Raw_Data!A192)</f>
        <v/>
      </c>
      <c r="B192" s="13" t="str">
        <f>IF(A192="","",Form_Raw_Data!B192)</f>
        <v/>
      </c>
      <c r="C192" s="14" t="str">
        <f>IF(A192="","",UPPER(TRIM(Form_Raw_Data!C192)))</f>
        <v/>
      </c>
      <c r="D192" s="14" t="str">
        <f>IF(A192="","",UPPER(TRIM(Form_Raw_Data!D192)))</f>
        <v/>
      </c>
      <c r="E192" s="14" t="str">
        <f>IF(A192="","",TRIM(Form_Raw_Data!E192))</f>
        <v/>
      </c>
      <c r="F192" s="12" t="str">
        <f>IF(A192="","",IF(Form_Raw_Data!F192="","",Form_Raw_Data!F192&amp;""))</f>
        <v/>
      </c>
      <c r="G192" s="14" t="str">
        <f>IF(A192="","",IF(ISNUMBER(Form_Raw_Data!F192),IF(AND(Form_Raw_Data!F192&gt;=0,Form_Raw_Data!F192&lt;=24),Form_Raw_Data!F192,""),""))</f>
        <v/>
      </c>
      <c r="H192" s="14" t="str">
        <f>IF(A192="","",TRIM(Form_Raw_Data!G192))</f>
        <v/>
      </c>
      <c r="I192" s="15" t="str">
        <f t="shared" si="2"/>
        <v/>
      </c>
      <c r="J192" s="15" t="str">
        <f>IF(A192="","",IF(COUNTIF(Lists!$A$4:$A$53,C192)&gt;0,"YES","NO"))</f>
        <v/>
      </c>
      <c r="K192" s="15" t="str">
        <f>IF(A192="","",IF(COUNTIF(Lists!$I$4:$I$53,D192)&gt;0,"YES","NO"))</f>
        <v/>
      </c>
    </row>
    <row r="193" spans="1:11" x14ac:dyDescent="0.35">
      <c r="A193" s="12" t="str">
        <f>IF(Form_Raw_Data!A193="","",Form_Raw_Data!A193)</f>
        <v/>
      </c>
      <c r="B193" s="13" t="str">
        <f>IF(A193="","",Form_Raw_Data!B193)</f>
        <v/>
      </c>
      <c r="C193" s="14" t="str">
        <f>IF(A193="","",UPPER(TRIM(Form_Raw_Data!C193)))</f>
        <v/>
      </c>
      <c r="D193" s="14" t="str">
        <f>IF(A193="","",UPPER(TRIM(Form_Raw_Data!D193)))</f>
        <v/>
      </c>
      <c r="E193" s="14" t="str">
        <f>IF(A193="","",TRIM(Form_Raw_Data!E193))</f>
        <v/>
      </c>
      <c r="F193" s="12" t="str">
        <f>IF(A193="","",IF(Form_Raw_Data!F193="","",Form_Raw_Data!F193&amp;""))</f>
        <v/>
      </c>
      <c r="G193" s="14" t="str">
        <f>IF(A193="","",IF(ISNUMBER(Form_Raw_Data!F193),IF(AND(Form_Raw_Data!F193&gt;=0,Form_Raw_Data!F193&lt;=24),Form_Raw_Data!F193,""),""))</f>
        <v/>
      </c>
      <c r="H193" s="14" t="str">
        <f>IF(A193="","",TRIM(Form_Raw_Data!G193))</f>
        <v/>
      </c>
      <c r="I193" s="15" t="str">
        <f t="shared" si="2"/>
        <v/>
      </c>
      <c r="J193" s="15" t="str">
        <f>IF(A193="","",IF(COUNTIF(Lists!$A$4:$A$53,C193)&gt;0,"YES","NO"))</f>
        <v/>
      </c>
      <c r="K193" s="15" t="str">
        <f>IF(A193="","",IF(COUNTIF(Lists!$I$4:$I$53,D193)&gt;0,"YES","NO"))</f>
        <v/>
      </c>
    </row>
    <row r="194" spans="1:11" x14ac:dyDescent="0.35">
      <c r="A194" s="12" t="str">
        <f>IF(Form_Raw_Data!A194="","",Form_Raw_Data!A194)</f>
        <v/>
      </c>
      <c r="B194" s="13" t="str">
        <f>IF(A194="","",Form_Raw_Data!B194)</f>
        <v/>
      </c>
      <c r="C194" s="14" t="str">
        <f>IF(A194="","",UPPER(TRIM(Form_Raw_Data!C194)))</f>
        <v/>
      </c>
      <c r="D194" s="14" t="str">
        <f>IF(A194="","",UPPER(TRIM(Form_Raw_Data!D194)))</f>
        <v/>
      </c>
      <c r="E194" s="14" t="str">
        <f>IF(A194="","",TRIM(Form_Raw_Data!E194))</f>
        <v/>
      </c>
      <c r="F194" s="12" t="str">
        <f>IF(A194="","",IF(Form_Raw_Data!F194="","",Form_Raw_Data!F194&amp;""))</f>
        <v/>
      </c>
      <c r="G194" s="14" t="str">
        <f>IF(A194="","",IF(ISNUMBER(Form_Raw_Data!F194),IF(AND(Form_Raw_Data!F194&gt;=0,Form_Raw_Data!F194&lt;=24),Form_Raw_Data!F194,""),""))</f>
        <v/>
      </c>
      <c r="H194" s="14" t="str">
        <f>IF(A194="","",TRIM(Form_Raw_Data!G194))</f>
        <v/>
      </c>
      <c r="I194" s="15" t="str">
        <f t="shared" si="2"/>
        <v/>
      </c>
      <c r="J194" s="15" t="str">
        <f>IF(A194="","",IF(COUNTIF(Lists!$A$4:$A$53,C194)&gt;0,"YES","NO"))</f>
        <v/>
      </c>
      <c r="K194" s="15" t="str">
        <f>IF(A194="","",IF(COUNTIF(Lists!$I$4:$I$53,D194)&gt;0,"YES","NO"))</f>
        <v/>
      </c>
    </row>
    <row r="195" spans="1:11" x14ac:dyDescent="0.35">
      <c r="A195" s="12" t="str">
        <f>IF(Form_Raw_Data!A195="","",Form_Raw_Data!A195)</f>
        <v/>
      </c>
      <c r="B195" s="13" t="str">
        <f>IF(A195="","",Form_Raw_Data!B195)</f>
        <v/>
      </c>
      <c r="C195" s="14" t="str">
        <f>IF(A195="","",UPPER(TRIM(Form_Raw_Data!C195)))</f>
        <v/>
      </c>
      <c r="D195" s="14" t="str">
        <f>IF(A195="","",UPPER(TRIM(Form_Raw_Data!D195)))</f>
        <v/>
      </c>
      <c r="E195" s="14" t="str">
        <f>IF(A195="","",TRIM(Form_Raw_Data!E195))</f>
        <v/>
      </c>
      <c r="F195" s="12" t="str">
        <f>IF(A195="","",IF(Form_Raw_Data!F195="","",Form_Raw_Data!F195&amp;""))</f>
        <v/>
      </c>
      <c r="G195" s="14" t="str">
        <f>IF(A195="","",IF(ISNUMBER(Form_Raw_Data!F195),IF(AND(Form_Raw_Data!F195&gt;=0,Form_Raw_Data!F195&lt;=24),Form_Raw_Data!F195,""),""))</f>
        <v/>
      </c>
      <c r="H195" s="14" t="str">
        <f>IF(A195="","",TRIM(Form_Raw_Data!G195))</f>
        <v/>
      </c>
      <c r="I195" s="15" t="str">
        <f t="shared" si="2"/>
        <v/>
      </c>
      <c r="J195" s="15" t="str">
        <f>IF(A195="","",IF(COUNTIF(Lists!$A$4:$A$53,C195)&gt;0,"YES","NO"))</f>
        <v/>
      </c>
      <c r="K195" s="15" t="str">
        <f>IF(A195="","",IF(COUNTIF(Lists!$I$4:$I$53,D195)&gt;0,"YES","NO"))</f>
        <v/>
      </c>
    </row>
    <row r="196" spans="1:11" x14ac:dyDescent="0.35">
      <c r="A196" s="12" t="str">
        <f>IF(Form_Raw_Data!A196="","",Form_Raw_Data!A196)</f>
        <v/>
      </c>
      <c r="B196" s="13" t="str">
        <f>IF(A196="","",Form_Raw_Data!B196)</f>
        <v/>
      </c>
      <c r="C196" s="14" t="str">
        <f>IF(A196="","",UPPER(TRIM(Form_Raw_Data!C196)))</f>
        <v/>
      </c>
      <c r="D196" s="14" t="str">
        <f>IF(A196="","",UPPER(TRIM(Form_Raw_Data!D196)))</f>
        <v/>
      </c>
      <c r="E196" s="14" t="str">
        <f>IF(A196="","",TRIM(Form_Raw_Data!E196))</f>
        <v/>
      </c>
      <c r="F196" s="12" t="str">
        <f>IF(A196="","",IF(Form_Raw_Data!F196="","",Form_Raw_Data!F196&amp;""))</f>
        <v/>
      </c>
      <c r="G196" s="14" t="str">
        <f>IF(A196="","",IF(ISNUMBER(Form_Raw_Data!F196),IF(AND(Form_Raw_Data!F196&gt;=0,Form_Raw_Data!F196&lt;=24),Form_Raw_Data!F196,""),""))</f>
        <v/>
      </c>
      <c r="H196" s="14" t="str">
        <f>IF(A196="","",TRIM(Form_Raw_Data!G196))</f>
        <v/>
      </c>
      <c r="I196" s="15" t="str">
        <f t="shared" ref="I196:I259" si="3">IF(A196="","",IF(OR(C196="",D196="",E196="",H196="",G196=""),"ERROR","OK"))</f>
        <v/>
      </c>
      <c r="J196" s="15" t="str">
        <f>IF(A196="","",IF(COUNTIF(Lists!$A$4:$A$53,C196)&gt;0,"YES","NO"))</f>
        <v/>
      </c>
      <c r="K196" s="15" t="str">
        <f>IF(A196="","",IF(COUNTIF(Lists!$I$4:$I$53,D196)&gt;0,"YES","NO"))</f>
        <v/>
      </c>
    </row>
    <row r="197" spans="1:11" x14ac:dyDescent="0.35">
      <c r="A197" s="12" t="str">
        <f>IF(Form_Raw_Data!A197="","",Form_Raw_Data!A197)</f>
        <v/>
      </c>
      <c r="B197" s="13" t="str">
        <f>IF(A197="","",Form_Raw_Data!B197)</f>
        <v/>
      </c>
      <c r="C197" s="14" t="str">
        <f>IF(A197="","",UPPER(TRIM(Form_Raw_Data!C197)))</f>
        <v/>
      </c>
      <c r="D197" s="14" t="str">
        <f>IF(A197="","",UPPER(TRIM(Form_Raw_Data!D197)))</f>
        <v/>
      </c>
      <c r="E197" s="14" t="str">
        <f>IF(A197="","",TRIM(Form_Raw_Data!E197))</f>
        <v/>
      </c>
      <c r="F197" s="12" t="str">
        <f>IF(A197="","",IF(Form_Raw_Data!F197="","",Form_Raw_Data!F197&amp;""))</f>
        <v/>
      </c>
      <c r="G197" s="14" t="str">
        <f>IF(A197="","",IF(ISNUMBER(Form_Raw_Data!F197),IF(AND(Form_Raw_Data!F197&gt;=0,Form_Raw_Data!F197&lt;=24),Form_Raw_Data!F197,""),""))</f>
        <v/>
      </c>
      <c r="H197" s="14" t="str">
        <f>IF(A197="","",TRIM(Form_Raw_Data!G197))</f>
        <v/>
      </c>
      <c r="I197" s="15" t="str">
        <f t="shared" si="3"/>
        <v/>
      </c>
      <c r="J197" s="15" t="str">
        <f>IF(A197="","",IF(COUNTIF(Lists!$A$4:$A$53,C197)&gt;0,"YES","NO"))</f>
        <v/>
      </c>
      <c r="K197" s="15" t="str">
        <f>IF(A197="","",IF(COUNTIF(Lists!$I$4:$I$53,D197)&gt;0,"YES","NO"))</f>
        <v/>
      </c>
    </row>
    <row r="198" spans="1:11" x14ac:dyDescent="0.35">
      <c r="A198" s="12" t="str">
        <f>IF(Form_Raw_Data!A198="","",Form_Raw_Data!A198)</f>
        <v/>
      </c>
      <c r="B198" s="13" t="str">
        <f>IF(A198="","",Form_Raw_Data!B198)</f>
        <v/>
      </c>
      <c r="C198" s="14" t="str">
        <f>IF(A198="","",UPPER(TRIM(Form_Raw_Data!C198)))</f>
        <v/>
      </c>
      <c r="D198" s="14" t="str">
        <f>IF(A198="","",UPPER(TRIM(Form_Raw_Data!D198)))</f>
        <v/>
      </c>
      <c r="E198" s="14" t="str">
        <f>IF(A198="","",TRIM(Form_Raw_Data!E198))</f>
        <v/>
      </c>
      <c r="F198" s="12" t="str">
        <f>IF(A198="","",IF(Form_Raw_Data!F198="","",Form_Raw_Data!F198&amp;""))</f>
        <v/>
      </c>
      <c r="G198" s="14" t="str">
        <f>IF(A198="","",IF(ISNUMBER(Form_Raw_Data!F198),IF(AND(Form_Raw_Data!F198&gt;=0,Form_Raw_Data!F198&lt;=24),Form_Raw_Data!F198,""),""))</f>
        <v/>
      </c>
      <c r="H198" s="14" t="str">
        <f>IF(A198="","",TRIM(Form_Raw_Data!G198))</f>
        <v/>
      </c>
      <c r="I198" s="15" t="str">
        <f t="shared" si="3"/>
        <v/>
      </c>
      <c r="J198" s="15" t="str">
        <f>IF(A198="","",IF(COUNTIF(Lists!$A$4:$A$53,C198)&gt;0,"YES","NO"))</f>
        <v/>
      </c>
      <c r="K198" s="15" t="str">
        <f>IF(A198="","",IF(COUNTIF(Lists!$I$4:$I$53,D198)&gt;0,"YES","NO"))</f>
        <v/>
      </c>
    </row>
    <row r="199" spans="1:11" x14ac:dyDescent="0.35">
      <c r="A199" s="12" t="str">
        <f>IF(Form_Raw_Data!A199="","",Form_Raw_Data!A199)</f>
        <v/>
      </c>
      <c r="B199" s="13" t="str">
        <f>IF(A199="","",Form_Raw_Data!B199)</f>
        <v/>
      </c>
      <c r="C199" s="14" t="str">
        <f>IF(A199="","",UPPER(TRIM(Form_Raw_Data!C199)))</f>
        <v/>
      </c>
      <c r="D199" s="14" t="str">
        <f>IF(A199="","",UPPER(TRIM(Form_Raw_Data!D199)))</f>
        <v/>
      </c>
      <c r="E199" s="14" t="str">
        <f>IF(A199="","",TRIM(Form_Raw_Data!E199))</f>
        <v/>
      </c>
      <c r="F199" s="12" t="str">
        <f>IF(A199="","",IF(Form_Raw_Data!F199="","",Form_Raw_Data!F199&amp;""))</f>
        <v/>
      </c>
      <c r="G199" s="14" t="str">
        <f>IF(A199="","",IF(ISNUMBER(Form_Raw_Data!F199),IF(AND(Form_Raw_Data!F199&gt;=0,Form_Raw_Data!F199&lt;=24),Form_Raw_Data!F199,""),""))</f>
        <v/>
      </c>
      <c r="H199" s="14" t="str">
        <f>IF(A199="","",TRIM(Form_Raw_Data!G199))</f>
        <v/>
      </c>
      <c r="I199" s="15" t="str">
        <f t="shared" si="3"/>
        <v/>
      </c>
      <c r="J199" s="15" t="str">
        <f>IF(A199="","",IF(COUNTIF(Lists!$A$4:$A$53,C199)&gt;0,"YES","NO"))</f>
        <v/>
      </c>
      <c r="K199" s="15" t="str">
        <f>IF(A199="","",IF(COUNTIF(Lists!$I$4:$I$53,D199)&gt;0,"YES","NO"))</f>
        <v/>
      </c>
    </row>
    <row r="200" spans="1:11" x14ac:dyDescent="0.35">
      <c r="A200" s="12" t="str">
        <f>IF(Form_Raw_Data!A200="","",Form_Raw_Data!A200)</f>
        <v/>
      </c>
      <c r="B200" s="13" t="str">
        <f>IF(A200="","",Form_Raw_Data!B200)</f>
        <v/>
      </c>
      <c r="C200" s="14" t="str">
        <f>IF(A200="","",UPPER(TRIM(Form_Raw_Data!C200)))</f>
        <v/>
      </c>
      <c r="D200" s="14" t="str">
        <f>IF(A200="","",UPPER(TRIM(Form_Raw_Data!D200)))</f>
        <v/>
      </c>
      <c r="E200" s="14" t="str">
        <f>IF(A200="","",TRIM(Form_Raw_Data!E200))</f>
        <v/>
      </c>
      <c r="F200" s="12" t="str">
        <f>IF(A200="","",IF(Form_Raw_Data!F200="","",Form_Raw_Data!F200&amp;""))</f>
        <v/>
      </c>
      <c r="G200" s="14" t="str">
        <f>IF(A200="","",IF(ISNUMBER(Form_Raw_Data!F200),IF(AND(Form_Raw_Data!F200&gt;=0,Form_Raw_Data!F200&lt;=24),Form_Raw_Data!F200,""),""))</f>
        <v/>
      </c>
      <c r="H200" s="14" t="str">
        <f>IF(A200="","",TRIM(Form_Raw_Data!G200))</f>
        <v/>
      </c>
      <c r="I200" s="15" t="str">
        <f t="shared" si="3"/>
        <v/>
      </c>
      <c r="J200" s="15" t="str">
        <f>IF(A200="","",IF(COUNTIF(Lists!$A$4:$A$53,C200)&gt;0,"YES","NO"))</f>
        <v/>
      </c>
      <c r="K200" s="15" t="str">
        <f>IF(A200="","",IF(COUNTIF(Lists!$I$4:$I$53,D200)&gt;0,"YES","NO"))</f>
        <v/>
      </c>
    </row>
    <row r="201" spans="1:11" x14ac:dyDescent="0.35">
      <c r="A201" s="12" t="str">
        <f>IF(Form_Raw_Data!A201="","",Form_Raw_Data!A201)</f>
        <v/>
      </c>
      <c r="B201" s="13" t="str">
        <f>IF(A201="","",Form_Raw_Data!B201)</f>
        <v/>
      </c>
      <c r="C201" s="14" t="str">
        <f>IF(A201="","",UPPER(TRIM(Form_Raw_Data!C201)))</f>
        <v/>
      </c>
      <c r="D201" s="14" t="str">
        <f>IF(A201="","",UPPER(TRIM(Form_Raw_Data!D201)))</f>
        <v/>
      </c>
      <c r="E201" s="14" t="str">
        <f>IF(A201="","",TRIM(Form_Raw_Data!E201))</f>
        <v/>
      </c>
      <c r="F201" s="12" t="str">
        <f>IF(A201="","",IF(Form_Raw_Data!F201="","",Form_Raw_Data!F201&amp;""))</f>
        <v/>
      </c>
      <c r="G201" s="14" t="str">
        <f>IF(A201="","",IF(ISNUMBER(Form_Raw_Data!F201),IF(AND(Form_Raw_Data!F201&gt;=0,Form_Raw_Data!F201&lt;=24),Form_Raw_Data!F201,""),""))</f>
        <v/>
      </c>
      <c r="H201" s="14" t="str">
        <f>IF(A201="","",TRIM(Form_Raw_Data!G201))</f>
        <v/>
      </c>
      <c r="I201" s="15" t="str">
        <f t="shared" si="3"/>
        <v/>
      </c>
      <c r="J201" s="15" t="str">
        <f>IF(A201="","",IF(COUNTIF(Lists!$A$4:$A$53,C201)&gt;0,"YES","NO"))</f>
        <v/>
      </c>
      <c r="K201" s="15" t="str">
        <f>IF(A201="","",IF(COUNTIF(Lists!$I$4:$I$53,D201)&gt;0,"YES","NO"))</f>
        <v/>
      </c>
    </row>
    <row r="202" spans="1:11" x14ac:dyDescent="0.35">
      <c r="A202" s="12" t="str">
        <f>IF(Form_Raw_Data!A202="","",Form_Raw_Data!A202)</f>
        <v/>
      </c>
      <c r="B202" s="13" t="str">
        <f>IF(A202="","",Form_Raw_Data!B202)</f>
        <v/>
      </c>
      <c r="C202" s="14" t="str">
        <f>IF(A202="","",UPPER(TRIM(Form_Raw_Data!C202)))</f>
        <v/>
      </c>
      <c r="D202" s="14" t="str">
        <f>IF(A202="","",UPPER(TRIM(Form_Raw_Data!D202)))</f>
        <v/>
      </c>
      <c r="E202" s="14" t="str">
        <f>IF(A202="","",TRIM(Form_Raw_Data!E202))</f>
        <v/>
      </c>
      <c r="F202" s="12" t="str">
        <f>IF(A202="","",IF(Form_Raw_Data!F202="","",Form_Raw_Data!F202&amp;""))</f>
        <v/>
      </c>
      <c r="G202" s="14" t="str">
        <f>IF(A202="","",IF(ISNUMBER(Form_Raw_Data!F202),IF(AND(Form_Raw_Data!F202&gt;=0,Form_Raw_Data!F202&lt;=24),Form_Raw_Data!F202,""),""))</f>
        <v/>
      </c>
      <c r="H202" s="14" t="str">
        <f>IF(A202="","",TRIM(Form_Raw_Data!G202))</f>
        <v/>
      </c>
      <c r="I202" s="15" t="str">
        <f t="shared" si="3"/>
        <v/>
      </c>
      <c r="J202" s="15" t="str">
        <f>IF(A202="","",IF(COUNTIF(Lists!$A$4:$A$53,C202)&gt;0,"YES","NO"))</f>
        <v/>
      </c>
      <c r="K202" s="15" t="str">
        <f>IF(A202="","",IF(COUNTIF(Lists!$I$4:$I$53,D202)&gt;0,"YES","NO"))</f>
        <v/>
      </c>
    </row>
    <row r="203" spans="1:11" x14ac:dyDescent="0.35">
      <c r="A203" s="12" t="str">
        <f>IF(Form_Raw_Data!A203="","",Form_Raw_Data!A203)</f>
        <v/>
      </c>
      <c r="B203" s="13" t="str">
        <f>IF(A203="","",Form_Raw_Data!B203)</f>
        <v/>
      </c>
      <c r="C203" s="14" t="str">
        <f>IF(A203="","",UPPER(TRIM(Form_Raw_Data!C203)))</f>
        <v/>
      </c>
      <c r="D203" s="14" t="str">
        <f>IF(A203="","",UPPER(TRIM(Form_Raw_Data!D203)))</f>
        <v/>
      </c>
      <c r="E203" s="14" t="str">
        <f>IF(A203="","",TRIM(Form_Raw_Data!E203))</f>
        <v/>
      </c>
      <c r="F203" s="12" t="str">
        <f>IF(A203="","",IF(Form_Raw_Data!F203="","",Form_Raw_Data!F203&amp;""))</f>
        <v/>
      </c>
      <c r="G203" s="14" t="str">
        <f>IF(A203="","",IF(ISNUMBER(Form_Raw_Data!F203),IF(AND(Form_Raw_Data!F203&gt;=0,Form_Raw_Data!F203&lt;=24),Form_Raw_Data!F203,""),""))</f>
        <v/>
      </c>
      <c r="H203" s="14" t="str">
        <f>IF(A203="","",TRIM(Form_Raw_Data!G203))</f>
        <v/>
      </c>
      <c r="I203" s="15" t="str">
        <f t="shared" si="3"/>
        <v/>
      </c>
      <c r="J203" s="15" t="str">
        <f>IF(A203="","",IF(COUNTIF(Lists!$A$4:$A$53,C203)&gt;0,"YES","NO"))</f>
        <v/>
      </c>
      <c r="K203" s="15" t="str">
        <f>IF(A203="","",IF(COUNTIF(Lists!$I$4:$I$53,D203)&gt;0,"YES","NO"))</f>
        <v/>
      </c>
    </row>
    <row r="204" spans="1:11" x14ac:dyDescent="0.35">
      <c r="A204" s="12" t="str">
        <f>IF(Form_Raw_Data!A204="","",Form_Raw_Data!A204)</f>
        <v/>
      </c>
      <c r="B204" s="13" t="str">
        <f>IF(A204="","",Form_Raw_Data!B204)</f>
        <v/>
      </c>
      <c r="C204" s="14" t="str">
        <f>IF(A204="","",UPPER(TRIM(Form_Raw_Data!C204)))</f>
        <v/>
      </c>
      <c r="D204" s="14" t="str">
        <f>IF(A204="","",UPPER(TRIM(Form_Raw_Data!D204)))</f>
        <v/>
      </c>
      <c r="E204" s="14" t="str">
        <f>IF(A204="","",TRIM(Form_Raw_Data!E204))</f>
        <v/>
      </c>
      <c r="F204" s="12" t="str">
        <f>IF(A204="","",IF(Form_Raw_Data!F204="","",Form_Raw_Data!F204&amp;""))</f>
        <v/>
      </c>
      <c r="G204" s="14" t="str">
        <f>IF(A204="","",IF(ISNUMBER(Form_Raw_Data!F204),IF(AND(Form_Raw_Data!F204&gt;=0,Form_Raw_Data!F204&lt;=24),Form_Raw_Data!F204,""),""))</f>
        <v/>
      </c>
      <c r="H204" s="14" t="str">
        <f>IF(A204="","",TRIM(Form_Raw_Data!G204))</f>
        <v/>
      </c>
      <c r="I204" s="15" t="str">
        <f t="shared" si="3"/>
        <v/>
      </c>
      <c r="J204" s="15" t="str">
        <f>IF(A204="","",IF(COUNTIF(Lists!$A$4:$A$53,C204)&gt;0,"YES","NO"))</f>
        <v/>
      </c>
      <c r="K204" s="15" t="str">
        <f>IF(A204="","",IF(COUNTIF(Lists!$I$4:$I$53,D204)&gt;0,"YES","NO"))</f>
        <v/>
      </c>
    </row>
    <row r="205" spans="1:11" x14ac:dyDescent="0.35">
      <c r="A205" s="12" t="str">
        <f>IF(Form_Raw_Data!A205="","",Form_Raw_Data!A205)</f>
        <v/>
      </c>
      <c r="B205" s="13" t="str">
        <f>IF(A205="","",Form_Raw_Data!B205)</f>
        <v/>
      </c>
      <c r="C205" s="14" t="str">
        <f>IF(A205="","",UPPER(TRIM(Form_Raw_Data!C205)))</f>
        <v/>
      </c>
      <c r="D205" s="14" t="str">
        <f>IF(A205="","",UPPER(TRIM(Form_Raw_Data!D205)))</f>
        <v/>
      </c>
      <c r="E205" s="14" t="str">
        <f>IF(A205="","",TRIM(Form_Raw_Data!E205))</f>
        <v/>
      </c>
      <c r="F205" s="12" t="str">
        <f>IF(A205="","",IF(Form_Raw_Data!F205="","",Form_Raw_Data!F205&amp;""))</f>
        <v/>
      </c>
      <c r="G205" s="14" t="str">
        <f>IF(A205="","",IF(ISNUMBER(Form_Raw_Data!F205),IF(AND(Form_Raw_Data!F205&gt;=0,Form_Raw_Data!F205&lt;=24),Form_Raw_Data!F205,""),""))</f>
        <v/>
      </c>
      <c r="H205" s="14" t="str">
        <f>IF(A205="","",TRIM(Form_Raw_Data!G205))</f>
        <v/>
      </c>
      <c r="I205" s="15" t="str">
        <f t="shared" si="3"/>
        <v/>
      </c>
      <c r="J205" s="15" t="str">
        <f>IF(A205="","",IF(COUNTIF(Lists!$A$4:$A$53,C205)&gt;0,"YES","NO"))</f>
        <v/>
      </c>
      <c r="K205" s="15" t="str">
        <f>IF(A205="","",IF(COUNTIF(Lists!$I$4:$I$53,D205)&gt;0,"YES","NO"))</f>
        <v/>
      </c>
    </row>
    <row r="206" spans="1:11" x14ac:dyDescent="0.35">
      <c r="A206" s="12" t="str">
        <f>IF(Form_Raw_Data!A206="","",Form_Raw_Data!A206)</f>
        <v/>
      </c>
      <c r="B206" s="13" t="str">
        <f>IF(A206="","",Form_Raw_Data!B206)</f>
        <v/>
      </c>
      <c r="C206" s="14" t="str">
        <f>IF(A206="","",UPPER(TRIM(Form_Raw_Data!C206)))</f>
        <v/>
      </c>
      <c r="D206" s="14" t="str">
        <f>IF(A206="","",UPPER(TRIM(Form_Raw_Data!D206)))</f>
        <v/>
      </c>
      <c r="E206" s="14" t="str">
        <f>IF(A206="","",TRIM(Form_Raw_Data!E206))</f>
        <v/>
      </c>
      <c r="F206" s="12" t="str">
        <f>IF(A206="","",IF(Form_Raw_Data!F206="","",Form_Raw_Data!F206&amp;""))</f>
        <v/>
      </c>
      <c r="G206" s="14" t="str">
        <f>IF(A206="","",IF(ISNUMBER(Form_Raw_Data!F206),IF(AND(Form_Raw_Data!F206&gt;=0,Form_Raw_Data!F206&lt;=24),Form_Raw_Data!F206,""),""))</f>
        <v/>
      </c>
      <c r="H206" s="14" t="str">
        <f>IF(A206="","",TRIM(Form_Raw_Data!G206))</f>
        <v/>
      </c>
      <c r="I206" s="15" t="str">
        <f t="shared" si="3"/>
        <v/>
      </c>
      <c r="J206" s="15" t="str">
        <f>IF(A206="","",IF(COUNTIF(Lists!$A$4:$A$53,C206)&gt;0,"YES","NO"))</f>
        <v/>
      </c>
      <c r="K206" s="15" t="str">
        <f>IF(A206="","",IF(COUNTIF(Lists!$I$4:$I$53,D206)&gt;0,"YES","NO"))</f>
        <v/>
      </c>
    </row>
    <row r="207" spans="1:11" x14ac:dyDescent="0.35">
      <c r="A207" s="12" t="str">
        <f>IF(Form_Raw_Data!A207="","",Form_Raw_Data!A207)</f>
        <v/>
      </c>
      <c r="B207" s="13" t="str">
        <f>IF(A207="","",Form_Raw_Data!B207)</f>
        <v/>
      </c>
      <c r="C207" s="14" t="str">
        <f>IF(A207="","",UPPER(TRIM(Form_Raw_Data!C207)))</f>
        <v/>
      </c>
      <c r="D207" s="14" t="str">
        <f>IF(A207="","",UPPER(TRIM(Form_Raw_Data!D207)))</f>
        <v/>
      </c>
      <c r="E207" s="14" t="str">
        <f>IF(A207="","",TRIM(Form_Raw_Data!E207))</f>
        <v/>
      </c>
      <c r="F207" s="12" t="str">
        <f>IF(A207="","",IF(Form_Raw_Data!F207="","",Form_Raw_Data!F207&amp;""))</f>
        <v/>
      </c>
      <c r="G207" s="14" t="str">
        <f>IF(A207="","",IF(ISNUMBER(Form_Raw_Data!F207),IF(AND(Form_Raw_Data!F207&gt;=0,Form_Raw_Data!F207&lt;=24),Form_Raw_Data!F207,""),""))</f>
        <v/>
      </c>
      <c r="H207" s="14" t="str">
        <f>IF(A207="","",TRIM(Form_Raw_Data!G207))</f>
        <v/>
      </c>
      <c r="I207" s="15" t="str">
        <f t="shared" si="3"/>
        <v/>
      </c>
      <c r="J207" s="15" t="str">
        <f>IF(A207="","",IF(COUNTIF(Lists!$A$4:$A$53,C207)&gt;0,"YES","NO"))</f>
        <v/>
      </c>
      <c r="K207" s="15" t="str">
        <f>IF(A207="","",IF(COUNTIF(Lists!$I$4:$I$53,D207)&gt;0,"YES","NO"))</f>
        <v/>
      </c>
    </row>
    <row r="208" spans="1:11" x14ac:dyDescent="0.35">
      <c r="A208" s="12" t="str">
        <f>IF(Form_Raw_Data!A208="","",Form_Raw_Data!A208)</f>
        <v/>
      </c>
      <c r="B208" s="13" t="str">
        <f>IF(A208="","",Form_Raw_Data!B208)</f>
        <v/>
      </c>
      <c r="C208" s="14" t="str">
        <f>IF(A208="","",UPPER(TRIM(Form_Raw_Data!C208)))</f>
        <v/>
      </c>
      <c r="D208" s="14" t="str">
        <f>IF(A208="","",UPPER(TRIM(Form_Raw_Data!D208)))</f>
        <v/>
      </c>
      <c r="E208" s="14" t="str">
        <f>IF(A208="","",TRIM(Form_Raw_Data!E208))</f>
        <v/>
      </c>
      <c r="F208" s="12" t="str">
        <f>IF(A208="","",IF(Form_Raw_Data!F208="","",Form_Raw_Data!F208&amp;""))</f>
        <v/>
      </c>
      <c r="G208" s="14" t="str">
        <f>IF(A208="","",IF(ISNUMBER(Form_Raw_Data!F208),IF(AND(Form_Raw_Data!F208&gt;=0,Form_Raw_Data!F208&lt;=24),Form_Raw_Data!F208,""),""))</f>
        <v/>
      </c>
      <c r="H208" s="14" t="str">
        <f>IF(A208="","",TRIM(Form_Raw_Data!G208))</f>
        <v/>
      </c>
      <c r="I208" s="15" t="str">
        <f t="shared" si="3"/>
        <v/>
      </c>
      <c r="J208" s="15" t="str">
        <f>IF(A208="","",IF(COUNTIF(Lists!$A$4:$A$53,C208)&gt;0,"YES","NO"))</f>
        <v/>
      </c>
      <c r="K208" s="15" t="str">
        <f>IF(A208="","",IF(COUNTIF(Lists!$I$4:$I$53,D208)&gt;0,"YES","NO"))</f>
        <v/>
      </c>
    </row>
    <row r="209" spans="1:11" x14ac:dyDescent="0.35">
      <c r="A209" s="12" t="str">
        <f>IF(Form_Raw_Data!A209="","",Form_Raw_Data!A209)</f>
        <v/>
      </c>
      <c r="B209" s="13" t="str">
        <f>IF(A209="","",Form_Raw_Data!B209)</f>
        <v/>
      </c>
      <c r="C209" s="14" t="str">
        <f>IF(A209="","",UPPER(TRIM(Form_Raw_Data!C209)))</f>
        <v/>
      </c>
      <c r="D209" s="14" t="str">
        <f>IF(A209="","",UPPER(TRIM(Form_Raw_Data!D209)))</f>
        <v/>
      </c>
      <c r="E209" s="14" t="str">
        <f>IF(A209="","",TRIM(Form_Raw_Data!E209))</f>
        <v/>
      </c>
      <c r="F209" s="12" t="str">
        <f>IF(A209="","",IF(Form_Raw_Data!F209="","",Form_Raw_Data!F209&amp;""))</f>
        <v/>
      </c>
      <c r="G209" s="14" t="str">
        <f>IF(A209="","",IF(ISNUMBER(Form_Raw_Data!F209),IF(AND(Form_Raw_Data!F209&gt;=0,Form_Raw_Data!F209&lt;=24),Form_Raw_Data!F209,""),""))</f>
        <v/>
      </c>
      <c r="H209" s="14" t="str">
        <f>IF(A209="","",TRIM(Form_Raw_Data!G209))</f>
        <v/>
      </c>
      <c r="I209" s="15" t="str">
        <f t="shared" si="3"/>
        <v/>
      </c>
      <c r="J209" s="15" t="str">
        <f>IF(A209="","",IF(COUNTIF(Lists!$A$4:$A$53,C209)&gt;0,"YES","NO"))</f>
        <v/>
      </c>
      <c r="K209" s="15" t="str">
        <f>IF(A209="","",IF(COUNTIF(Lists!$I$4:$I$53,D209)&gt;0,"YES","NO"))</f>
        <v/>
      </c>
    </row>
    <row r="210" spans="1:11" x14ac:dyDescent="0.35">
      <c r="A210" s="12" t="str">
        <f>IF(Form_Raw_Data!A210="","",Form_Raw_Data!A210)</f>
        <v/>
      </c>
      <c r="B210" s="13" t="str">
        <f>IF(A210="","",Form_Raw_Data!B210)</f>
        <v/>
      </c>
      <c r="C210" s="14" t="str">
        <f>IF(A210="","",UPPER(TRIM(Form_Raw_Data!C210)))</f>
        <v/>
      </c>
      <c r="D210" s="14" t="str">
        <f>IF(A210="","",UPPER(TRIM(Form_Raw_Data!D210)))</f>
        <v/>
      </c>
      <c r="E210" s="14" t="str">
        <f>IF(A210="","",TRIM(Form_Raw_Data!E210))</f>
        <v/>
      </c>
      <c r="F210" s="12" t="str">
        <f>IF(A210="","",IF(Form_Raw_Data!F210="","",Form_Raw_Data!F210&amp;""))</f>
        <v/>
      </c>
      <c r="G210" s="14" t="str">
        <f>IF(A210="","",IF(ISNUMBER(Form_Raw_Data!F210),IF(AND(Form_Raw_Data!F210&gt;=0,Form_Raw_Data!F210&lt;=24),Form_Raw_Data!F210,""),""))</f>
        <v/>
      </c>
      <c r="H210" s="14" t="str">
        <f>IF(A210="","",TRIM(Form_Raw_Data!G210))</f>
        <v/>
      </c>
      <c r="I210" s="15" t="str">
        <f t="shared" si="3"/>
        <v/>
      </c>
      <c r="J210" s="15" t="str">
        <f>IF(A210="","",IF(COUNTIF(Lists!$A$4:$A$53,C210)&gt;0,"YES","NO"))</f>
        <v/>
      </c>
      <c r="K210" s="15" t="str">
        <f>IF(A210="","",IF(COUNTIF(Lists!$I$4:$I$53,D210)&gt;0,"YES","NO"))</f>
        <v/>
      </c>
    </row>
    <row r="211" spans="1:11" x14ac:dyDescent="0.35">
      <c r="A211" s="12" t="str">
        <f>IF(Form_Raw_Data!A211="","",Form_Raw_Data!A211)</f>
        <v/>
      </c>
      <c r="B211" s="13" t="str">
        <f>IF(A211="","",Form_Raw_Data!B211)</f>
        <v/>
      </c>
      <c r="C211" s="14" t="str">
        <f>IF(A211="","",UPPER(TRIM(Form_Raw_Data!C211)))</f>
        <v/>
      </c>
      <c r="D211" s="14" t="str">
        <f>IF(A211="","",UPPER(TRIM(Form_Raw_Data!D211)))</f>
        <v/>
      </c>
      <c r="E211" s="14" t="str">
        <f>IF(A211="","",TRIM(Form_Raw_Data!E211))</f>
        <v/>
      </c>
      <c r="F211" s="12" t="str">
        <f>IF(A211="","",IF(Form_Raw_Data!F211="","",Form_Raw_Data!F211&amp;""))</f>
        <v/>
      </c>
      <c r="G211" s="14" t="str">
        <f>IF(A211="","",IF(ISNUMBER(Form_Raw_Data!F211),IF(AND(Form_Raw_Data!F211&gt;=0,Form_Raw_Data!F211&lt;=24),Form_Raw_Data!F211,""),""))</f>
        <v/>
      </c>
      <c r="H211" s="14" t="str">
        <f>IF(A211="","",TRIM(Form_Raw_Data!G211))</f>
        <v/>
      </c>
      <c r="I211" s="15" t="str">
        <f t="shared" si="3"/>
        <v/>
      </c>
      <c r="J211" s="15" t="str">
        <f>IF(A211="","",IF(COUNTIF(Lists!$A$4:$A$53,C211)&gt;0,"YES","NO"))</f>
        <v/>
      </c>
      <c r="K211" s="15" t="str">
        <f>IF(A211="","",IF(COUNTIF(Lists!$I$4:$I$53,D211)&gt;0,"YES","NO"))</f>
        <v/>
      </c>
    </row>
    <row r="212" spans="1:11" x14ac:dyDescent="0.35">
      <c r="A212" s="12" t="str">
        <f>IF(Form_Raw_Data!A212="","",Form_Raw_Data!A212)</f>
        <v/>
      </c>
      <c r="B212" s="13" t="str">
        <f>IF(A212="","",Form_Raw_Data!B212)</f>
        <v/>
      </c>
      <c r="C212" s="14" t="str">
        <f>IF(A212="","",UPPER(TRIM(Form_Raw_Data!C212)))</f>
        <v/>
      </c>
      <c r="D212" s="14" t="str">
        <f>IF(A212="","",UPPER(TRIM(Form_Raw_Data!D212)))</f>
        <v/>
      </c>
      <c r="E212" s="14" t="str">
        <f>IF(A212="","",TRIM(Form_Raw_Data!E212))</f>
        <v/>
      </c>
      <c r="F212" s="12" t="str">
        <f>IF(A212="","",IF(Form_Raw_Data!F212="","",Form_Raw_Data!F212&amp;""))</f>
        <v/>
      </c>
      <c r="G212" s="14" t="str">
        <f>IF(A212="","",IF(ISNUMBER(Form_Raw_Data!F212),IF(AND(Form_Raw_Data!F212&gt;=0,Form_Raw_Data!F212&lt;=24),Form_Raw_Data!F212,""),""))</f>
        <v/>
      </c>
      <c r="H212" s="14" t="str">
        <f>IF(A212="","",TRIM(Form_Raw_Data!G212))</f>
        <v/>
      </c>
      <c r="I212" s="15" t="str">
        <f t="shared" si="3"/>
        <v/>
      </c>
      <c r="J212" s="15" t="str">
        <f>IF(A212="","",IF(COUNTIF(Lists!$A$4:$A$53,C212)&gt;0,"YES","NO"))</f>
        <v/>
      </c>
      <c r="K212" s="15" t="str">
        <f>IF(A212="","",IF(COUNTIF(Lists!$I$4:$I$53,D212)&gt;0,"YES","NO"))</f>
        <v/>
      </c>
    </row>
    <row r="213" spans="1:11" x14ac:dyDescent="0.35">
      <c r="A213" s="12" t="str">
        <f>IF(Form_Raw_Data!A213="","",Form_Raw_Data!A213)</f>
        <v/>
      </c>
      <c r="B213" s="13" t="str">
        <f>IF(A213="","",Form_Raw_Data!B213)</f>
        <v/>
      </c>
      <c r="C213" s="14" t="str">
        <f>IF(A213="","",UPPER(TRIM(Form_Raw_Data!C213)))</f>
        <v/>
      </c>
      <c r="D213" s="14" t="str">
        <f>IF(A213="","",UPPER(TRIM(Form_Raw_Data!D213)))</f>
        <v/>
      </c>
      <c r="E213" s="14" t="str">
        <f>IF(A213="","",TRIM(Form_Raw_Data!E213))</f>
        <v/>
      </c>
      <c r="F213" s="12" t="str">
        <f>IF(A213="","",IF(Form_Raw_Data!F213="","",Form_Raw_Data!F213&amp;""))</f>
        <v/>
      </c>
      <c r="G213" s="14" t="str">
        <f>IF(A213="","",IF(ISNUMBER(Form_Raw_Data!F213),IF(AND(Form_Raw_Data!F213&gt;=0,Form_Raw_Data!F213&lt;=24),Form_Raw_Data!F213,""),""))</f>
        <v/>
      </c>
      <c r="H213" s="14" t="str">
        <f>IF(A213="","",TRIM(Form_Raw_Data!G213))</f>
        <v/>
      </c>
      <c r="I213" s="15" t="str">
        <f t="shared" si="3"/>
        <v/>
      </c>
      <c r="J213" s="15" t="str">
        <f>IF(A213="","",IF(COUNTIF(Lists!$A$4:$A$53,C213)&gt;0,"YES","NO"))</f>
        <v/>
      </c>
      <c r="K213" s="15" t="str">
        <f>IF(A213="","",IF(COUNTIF(Lists!$I$4:$I$53,D213)&gt;0,"YES","NO"))</f>
        <v/>
      </c>
    </row>
    <row r="214" spans="1:11" x14ac:dyDescent="0.35">
      <c r="A214" s="12" t="str">
        <f>IF(Form_Raw_Data!A214="","",Form_Raw_Data!A214)</f>
        <v/>
      </c>
      <c r="B214" s="13" t="str">
        <f>IF(A214="","",Form_Raw_Data!B214)</f>
        <v/>
      </c>
      <c r="C214" s="14" t="str">
        <f>IF(A214="","",UPPER(TRIM(Form_Raw_Data!C214)))</f>
        <v/>
      </c>
      <c r="D214" s="14" t="str">
        <f>IF(A214="","",UPPER(TRIM(Form_Raw_Data!D214)))</f>
        <v/>
      </c>
      <c r="E214" s="14" t="str">
        <f>IF(A214="","",TRIM(Form_Raw_Data!E214))</f>
        <v/>
      </c>
      <c r="F214" s="12" t="str">
        <f>IF(A214="","",IF(Form_Raw_Data!F214="","",Form_Raw_Data!F214&amp;""))</f>
        <v/>
      </c>
      <c r="G214" s="14" t="str">
        <f>IF(A214="","",IF(ISNUMBER(Form_Raw_Data!F214),IF(AND(Form_Raw_Data!F214&gt;=0,Form_Raw_Data!F214&lt;=24),Form_Raw_Data!F214,""),""))</f>
        <v/>
      </c>
      <c r="H214" s="14" t="str">
        <f>IF(A214="","",TRIM(Form_Raw_Data!G214))</f>
        <v/>
      </c>
      <c r="I214" s="15" t="str">
        <f t="shared" si="3"/>
        <v/>
      </c>
      <c r="J214" s="15" t="str">
        <f>IF(A214="","",IF(COUNTIF(Lists!$A$4:$A$53,C214)&gt;0,"YES","NO"))</f>
        <v/>
      </c>
      <c r="K214" s="15" t="str">
        <f>IF(A214="","",IF(COUNTIF(Lists!$I$4:$I$53,D214)&gt;0,"YES","NO"))</f>
        <v/>
      </c>
    </row>
    <row r="215" spans="1:11" x14ac:dyDescent="0.35">
      <c r="A215" s="12" t="str">
        <f>IF(Form_Raw_Data!A215="","",Form_Raw_Data!A215)</f>
        <v/>
      </c>
      <c r="B215" s="13" t="str">
        <f>IF(A215="","",Form_Raw_Data!B215)</f>
        <v/>
      </c>
      <c r="C215" s="14" t="str">
        <f>IF(A215="","",UPPER(TRIM(Form_Raw_Data!C215)))</f>
        <v/>
      </c>
      <c r="D215" s="14" t="str">
        <f>IF(A215="","",UPPER(TRIM(Form_Raw_Data!D215)))</f>
        <v/>
      </c>
      <c r="E215" s="14" t="str">
        <f>IF(A215="","",TRIM(Form_Raw_Data!E215))</f>
        <v/>
      </c>
      <c r="F215" s="12" t="str">
        <f>IF(A215="","",IF(Form_Raw_Data!F215="","",Form_Raw_Data!F215&amp;""))</f>
        <v/>
      </c>
      <c r="G215" s="14" t="str">
        <f>IF(A215="","",IF(ISNUMBER(Form_Raw_Data!F215),IF(AND(Form_Raw_Data!F215&gt;=0,Form_Raw_Data!F215&lt;=24),Form_Raw_Data!F215,""),""))</f>
        <v/>
      </c>
      <c r="H215" s="14" t="str">
        <f>IF(A215="","",TRIM(Form_Raw_Data!G215))</f>
        <v/>
      </c>
      <c r="I215" s="15" t="str">
        <f t="shared" si="3"/>
        <v/>
      </c>
      <c r="J215" s="15" t="str">
        <f>IF(A215="","",IF(COUNTIF(Lists!$A$4:$A$53,C215)&gt;0,"YES","NO"))</f>
        <v/>
      </c>
      <c r="K215" s="15" t="str">
        <f>IF(A215="","",IF(COUNTIF(Lists!$I$4:$I$53,D215)&gt;0,"YES","NO"))</f>
        <v/>
      </c>
    </row>
    <row r="216" spans="1:11" x14ac:dyDescent="0.35">
      <c r="A216" s="12" t="str">
        <f>IF(Form_Raw_Data!A216="","",Form_Raw_Data!A216)</f>
        <v/>
      </c>
      <c r="B216" s="13" t="str">
        <f>IF(A216="","",Form_Raw_Data!B216)</f>
        <v/>
      </c>
      <c r="C216" s="14" t="str">
        <f>IF(A216="","",UPPER(TRIM(Form_Raw_Data!C216)))</f>
        <v/>
      </c>
      <c r="D216" s="14" t="str">
        <f>IF(A216="","",UPPER(TRIM(Form_Raw_Data!D216)))</f>
        <v/>
      </c>
      <c r="E216" s="14" t="str">
        <f>IF(A216="","",TRIM(Form_Raw_Data!E216))</f>
        <v/>
      </c>
      <c r="F216" s="12" t="str">
        <f>IF(A216="","",IF(Form_Raw_Data!F216="","",Form_Raw_Data!F216&amp;""))</f>
        <v/>
      </c>
      <c r="G216" s="14" t="str">
        <f>IF(A216="","",IF(ISNUMBER(Form_Raw_Data!F216),IF(AND(Form_Raw_Data!F216&gt;=0,Form_Raw_Data!F216&lt;=24),Form_Raw_Data!F216,""),""))</f>
        <v/>
      </c>
      <c r="H216" s="14" t="str">
        <f>IF(A216="","",TRIM(Form_Raw_Data!G216))</f>
        <v/>
      </c>
      <c r="I216" s="15" t="str">
        <f t="shared" si="3"/>
        <v/>
      </c>
      <c r="J216" s="15" t="str">
        <f>IF(A216="","",IF(COUNTIF(Lists!$A$4:$A$53,C216)&gt;0,"YES","NO"))</f>
        <v/>
      </c>
      <c r="K216" s="15" t="str">
        <f>IF(A216="","",IF(COUNTIF(Lists!$I$4:$I$53,D216)&gt;0,"YES","NO"))</f>
        <v/>
      </c>
    </row>
    <row r="217" spans="1:11" x14ac:dyDescent="0.35">
      <c r="A217" s="12" t="str">
        <f>IF(Form_Raw_Data!A217="","",Form_Raw_Data!A217)</f>
        <v/>
      </c>
      <c r="B217" s="13" t="str">
        <f>IF(A217="","",Form_Raw_Data!B217)</f>
        <v/>
      </c>
      <c r="C217" s="14" t="str">
        <f>IF(A217="","",UPPER(TRIM(Form_Raw_Data!C217)))</f>
        <v/>
      </c>
      <c r="D217" s="14" t="str">
        <f>IF(A217="","",UPPER(TRIM(Form_Raw_Data!D217)))</f>
        <v/>
      </c>
      <c r="E217" s="14" t="str">
        <f>IF(A217="","",TRIM(Form_Raw_Data!E217))</f>
        <v/>
      </c>
      <c r="F217" s="12" t="str">
        <f>IF(A217="","",IF(Form_Raw_Data!F217="","",Form_Raw_Data!F217&amp;""))</f>
        <v/>
      </c>
      <c r="G217" s="14" t="str">
        <f>IF(A217="","",IF(ISNUMBER(Form_Raw_Data!F217),IF(AND(Form_Raw_Data!F217&gt;=0,Form_Raw_Data!F217&lt;=24),Form_Raw_Data!F217,""),""))</f>
        <v/>
      </c>
      <c r="H217" s="14" t="str">
        <f>IF(A217="","",TRIM(Form_Raw_Data!G217))</f>
        <v/>
      </c>
      <c r="I217" s="15" t="str">
        <f t="shared" si="3"/>
        <v/>
      </c>
      <c r="J217" s="15" t="str">
        <f>IF(A217="","",IF(COUNTIF(Lists!$A$4:$A$53,C217)&gt;0,"YES","NO"))</f>
        <v/>
      </c>
      <c r="K217" s="15" t="str">
        <f>IF(A217="","",IF(COUNTIF(Lists!$I$4:$I$53,D217)&gt;0,"YES","NO"))</f>
        <v/>
      </c>
    </row>
    <row r="218" spans="1:11" x14ac:dyDescent="0.35">
      <c r="A218" s="12" t="str">
        <f>IF(Form_Raw_Data!A218="","",Form_Raw_Data!A218)</f>
        <v/>
      </c>
      <c r="B218" s="13" t="str">
        <f>IF(A218="","",Form_Raw_Data!B218)</f>
        <v/>
      </c>
      <c r="C218" s="14" t="str">
        <f>IF(A218="","",UPPER(TRIM(Form_Raw_Data!C218)))</f>
        <v/>
      </c>
      <c r="D218" s="14" t="str">
        <f>IF(A218="","",UPPER(TRIM(Form_Raw_Data!D218)))</f>
        <v/>
      </c>
      <c r="E218" s="14" t="str">
        <f>IF(A218="","",TRIM(Form_Raw_Data!E218))</f>
        <v/>
      </c>
      <c r="F218" s="12" t="str">
        <f>IF(A218="","",IF(Form_Raw_Data!F218="","",Form_Raw_Data!F218&amp;""))</f>
        <v/>
      </c>
      <c r="G218" s="14" t="str">
        <f>IF(A218="","",IF(ISNUMBER(Form_Raw_Data!F218),IF(AND(Form_Raw_Data!F218&gt;=0,Form_Raw_Data!F218&lt;=24),Form_Raw_Data!F218,""),""))</f>
        <v/>
      </c>
      <c r="H218" s="14" t="str">
        <f>IF(A218="","",TRIM(Form_Raw_Data!G218))</f>
        <v/>
      </c>
      <c r="I218" s="15" t="str">
        <f t="shared" si="3"/>
        <v/>
      </c>
      <c r="J218" s="15" t="str">
        <f>IF(A218="","",IF(COUNTIF(Lists!$A$4:$A$53,C218)&gt;0,"YES","NO"))</f>
        <v/>
      </c>
      <c r="K218" s="15" t="str">
        <f>IF(A218="","",IF(COUNTIF(Lists!$I$4:$I$53,D218)&gt;0,"YES","NO"))</f>
        <v/>
      </c>
    </row>
    <row r="219" spans="1:11" x14ac:dyDescent="0.35">
      <c r="A219" s="12" t="str">
        <f>IF(Form_Raw_Data!A219="","",Form_Raw_Data!A219)</f>
        <v/>
      </c>
      <c r="B219" s="13" t="str">
        <f>IF(A219="","",Form_Raw_Data!B219)</f>
        <v/>
      </c>
      <c r="C219" s="14" t="str">
        <f>IF(A219="","",UPPER(TRIM(Form_Raw_Data!C219)))</f>
        <v/>
      </c>
      <c r="D219" s="14" t="str">
        <f>IF(A219="","",UPPER(TRIM(Form_Raw_Data!D219)))</f>
        <v/>
      </c>
      <c r="E219" s="14" t="str">
        <f>IF(A219="","",TRIM(Form_Raw_Data!E219))</f>
        <v/>
      </c>
      <c r="F219" s="12" t="str">
        <f>IF(A219="","",IF(Form_Raw_Data!F219="","",Form_Raw_Data!F219&amp;""))</f>
        <v/>
      </c>
      <c r="G219" s="14" t="str">
        <f>IF(A219="","",IF(ISNUMBER(Form_Raw_Data!F219),IF(AND(Form_Raw_Data!F219&gt;=0,Form_Raw_Data!F219&lt;=24),Form_Raw_Data!F219,""),""))</f>
        <v/>
      </c>
      <c r="H219" s="14" t="str">
        <f>IF(A219="","",TRIM(Form_Raw_Data!G219))</f>
        <v/>
      </c>
      <c r="I219" s="15" t="str">
        <f t="shared" si="3"/>
        <v/>
      </c>
      <c r="J219" s="15" t="str">
        <f>IF(A219="","",IF(COUNTIF(Lists!$A$4:$A$53,C219)&gt;0,"YES","NO"))</f>
        <v/>
      </c>
      <c r="K219" s="15" t="str">
        <f>IF(A219="","",IF(COUNTIF(Lists!$I$4:$I$53,D219)&gt;0,"YES","NO"))</f>
        <v/>
      </c>
    </row>
    <row r="220" spans="1:11" x14ac:dyDescent="0.35">
      <c r="A220" s="12" t="str">
        <f>IF(Form_Raw_Data!A220="","",Form_Raw_Data!A220)</f>
        <v/>
      </c>
      <c r="B220" s="13" t="str">
        <f>IF(A220="","",Form_Raw_Data!B220)</f>
        <v/>
      </c>
      <c r="C220" s="14" t="str">
        <f>IF(A220="","",UPPER(TRIM(Form_Raw_Data!C220)))</f>
        <v/>
      </c>
      <c r="D220" s="14" t="str">
        <f>IF(A220="","",UPPER(TRIM(Form_Raw_Data!D220)))</f>
        <v/>
      </c>
      <c r="E220" s="14" t="str">
        <f>IF(A220="","",TRIM(Form_Raw_Data!E220))</f>
        <v/>
      </c>
      <c r="F220" s="12" t="str">
        <f>IF(A220="","",IF(Form_Raw_Data!F220="","",Form_Raw_Data!F220&amp;""))</f>
        <v/>
      </c>
      <c r="G220" s="14" t="str">
        <f>IF(A220="","",IF(ISNUMBER(Form_Raw_Data!F220),IF(AND(Form_Raw_Data!F220&gt;=0,Form_Raw_Data!F220&lt;=24),Form_Raw_Data!F220,""),""))</f>
        <v/>
      </c>
      <c r="H220" s="14" t="str">
        <f>IF(A220="","",TRIM(Form_Raw_Data!G220))</f>
        <v/>
      </c>
      <c r="I220" s="15" t="str">
        <f t="shared" si="3"/>
        <v/>
      </c>
      <c r="J220" s="15" t="str">
        <f>IF(A220="","",IF(COUNTIF(Lists!$A$4:$A$53,C220)&gt;0,"YES","NO"))</f>
        <v/>
      </c>
      <c r="K220" s="15" t="str">
        <f>IF(A220="","",IF(COUNTIF(Lists!$I$4:$I$53,D220)&gt;0,"YES","NO"))</f>
        <v/>
      </c>
    </row>
    <row r="221" spans="1:11" x14ac:dyDescent="0.35">
      <c r="A221" s="12" t="str">
        <f>IF(Form_Raw_Data!A221="","",Form_Raw_Data!A221)</f>
        <v/>
      </c>
      <c r="B221" s="13" t="str">
        <f>IF(A221="","",Form_Raw_Data!B221)</f>
        <v/>
      </c>
      <c r="C221" s="14" t="str">
        <f>IF(A221="","",UPPER(TRIM(Form_Raw_Data!C221)))</f>
        <v/>
      </c>
      <c r="D221" s="14" t="str">
        <f>IF(A221="","",UPPER(TRIM(Form_Raw_Data!D221)))</f>
        <v/>
      </c>
      <c r="E221" s="14" t="str">
        <f>IF(A221="","",TRIM(Form_Raw_Data!E221))</f>
        <v/>
      </c>
      <c r="F221" s="12" t="str">
        <f>IF(A221="","",IF(Form_Raw_Data!F221="","",Form_Raw_Data!F221&amp;""))</f>
        <v/>
      </c>
      <c r="G221" s="14" t="str">
        <f>IF(A221="","",IF(ISNUMBER(Form_Raw_Data!F221),IF(AND(Form_Raw_Data!F221&gt;=0,Form_Raw_Data!F221&lt;=24),Form_Raw_Data!F221,""),""))</f>
        <v/>
      </c>
      <c r="H221" s="14" t="str">
        <f>IF(A221="","",TRIM(Form_Raw_Data!G221))</f>
        <v/>
      </c>
      <c r="I221" s="15" t="str">
        <f t="shared" si="3"/>
        <v/>
      </c>
      <c r="J221" s="15" t="str">
        <f>IF(A221="","",IF(COUNTIF(Lists!$A$4:$A$53,C221)&gt;0,"YES","NO"))</f>
        <v/>
      </c>
      <c r="K221" s="15" t="str">
        <f>IF(A221="","",IF(COUNTIF(Lists!$I$4:$I$53,D221)&gt;0,"YES","NO"))</f>
        <v/>
      </c>
    </row>
    <row r="222" spans="1:11" x14ac:dyDescent="0.35">
      <c r="A222" s="12" t="str">
        <f>IF(Form_Raw_Data!A222="","",Form_Raw_Data!A222)</f>
        <v/>
      </c>
      <c r="B222" s="13" t="str">
        <f>IF(A222="","",Form_Raw_Data!B222)</f>
        <v/>
      </c>
      <c r="C222" s="14" t="str">
        <f>IF(A222="","",UPPER(TRIM(Form_Raw_Data!C222)))</f>
        <v/>
      </c>
      <c r="D222" s="14" t="str">
        <f>IF(A222="","",UPPER(TRIM(Form_Raw_Data!D222)))</f>
        <v/>
      </c>
      <c r="E222" s="14" t="str">
        <f>IF(A222="","",TRIM(Form_Raw_Data!E222))</f>
        <v/>
      </c>
      <c r="F222" s="12" t="str">
        <f>IF(A222="","",IF(Form_Raw_Data!F222="","",Form_Raw_Data!F222&amp;""))</f>
        <v/>
      </c>
      <c r="G222" s="14" t="str">
        <f>IF(A222="","",IF(ISNUMBER(Form_Raw_Data!F222),IF(AND(Form_Raw_Data!F222&gt;=0,Form_Raw_Data!F222&lt;=24),Form_Raw_Data!F222,""),""))</f>
        <v/>
      </c>
      <c r="H222" s="14" t="str">
        <f>IF(A222="","",TRIM(Form_Raw_Data!G222))</f>
        <v/>
      </c>
      <c r="I222" s="15" t="str">
        <f t="shared" si="3"/>
        <v/>
      </c>
      <c r="J222" s="15" t="str">
        <f>IF(A222="","",IF(COUNTIF(Lists!$A$4:$A$53,C222)&gt;0,"YES","NO"))</f>
        <v/>
      </c>
      <c r="K222" s="15" t="str">
        <f>IF(A222="","",IF(COUNTIF(Lists!$I$4:$I$53,D222)&gt;0,"YES","NO"))</f>
        <v/>
      </c>
    </row>
    <row r="223" spans="1:11" x14ac:dyDescent="0.35">
      <c r="A223" s="12" t="str">
        <f>IF(Form_Raw_Data!A223="","",Form_Raw_Data!A223)</f>
        <v/>
      </c>
      <c r="B223" s="13" t="str">
        <f>IF(A223="","",Form_Raw_Data!B223)</f>
        <v/>
      </c>
      <c r="C223" s="14" t="str">
        <f>IF(A223="","",UPPER(TRIM(Form_Raw_Data!C223)))</f>
        <v/>
      </c>
      <c r="D223" s="14" t="str">
        <f>IF(A223="","",UPPER(TRIM(Form_Raw_Data!D223)))</f>
        <v/>
      </c>
      <c r="E223" s="14" t="str">
        <f>IF(A223="","",TRIM(Form_Raw_Data!E223))</f>
        <v/>
      </c>
      <c r="F223" s="12" t="str">
        <f>IF(A223="","",IF(Form_Raw_Data!F223="","",Form_Raw_Data!F223&amp;""))</f>
        <v/>
      </c>
      <c r="G223" s="14" t="str">
        <f>IF(A223="","",IF(ISNUMBER(Form_Raw_Data!F223),IF(AND(Form_Raw_Data!F223&gt;=0,Form_Raw_Data!F223&lt;=24),Form_Raw_Data!F223,""),""))</f>
        <v/>
      </c>
      <c r="H223" s="14" t="str">
        <f>IF(A223="","",TRIM(Form_Raw_Data!G223))</f>
        <v/>
      </c>
      <c r="I223" s="15" t="str">
        <f t="shared" si="3"/>
        <v/>
      </c>
      <c r="J223" s="15" t="str">
        <f>IF(A223="","",IF(COUNTIF(Lists!$A$4:$A$53,C223)&gt;0,"YES","NO"))</f>
        <v/>
      </c>
      <c r="K223" s="15" t="str">
        <f>IF(A223="","",IF(COUNTIF(Lists!$I$4:$I$53,D223)&gt;0,"YES","NO"))</f>
        <v/>
      </c>
    </row>
    <row r="224" spans="1:11" x14ac:dyDescent="0.35">
      <c r="A224" s="12" t="str">
        <f>IF(Form_Raw_Data!A224="","",Form_Raw_Data!A224)</f>
        <v/>
      </c>
      <c r="B224" s="13" t="str">
        <f>IF(A224="","",Form_Raw_Data!B224)</f>
        <v/>
      </c>
      <c r="C224" s="14" t="str">
        <f>IF(A224="","",UPPER(TRIM(Form_Raw_Data!C224)))</f>
        <v/>
      </c>
      <c r="D224" s="14" t="str">
        <f>IF(A224="","",UPPER(TRIM(Form_Raw_Data!D224)))</f>
        <v/>
      </c>
      <c r="E224" s="14" t="str">
        <f>IF(A224="","",TRIM(Form_Raw_Data!E224))</f>
        <v/>
      </c>
      <c r="F224" s="12" t="str">
        <f>IF(A224="","",IF(Form_Raw_Data!F224="","",Form_Raw_Data!F224&amp;""))</f>
        <v/>
      </c>
      <c r="G224" s="14" t="str">
        <f>IF(A224="","",IF(ISNUMBER(Form_Raw_Data!F224),IF(AND(Form_Raw_Data!F224&gt;=0,Form_Raw_Data!F224&lt;=24),Form_Raw_Data!F224,""),""))</f>
        <v/>
      </c>
      <c r="H224" s="14" t="str">
        <f>IF(A224="","",TRIM(Form_Raw_Data!G224))</f>
        <v/>
      </c>
      <c r="I224" s="15" t="str">
        <f t="shared" si="3"/>
        <v/>
      </c>
      <c r="J224" s="15" t="str">
        <f>IF(A224="","",IF(COUNTIF(Lists!$A$4:$A$53,C224)&gt;0,"YES","NO"))</f>
        <v/>
      </c>
      <c r="K224" s="15" t="str">
        <f>IF(A224="","",IF(COUNTIF(Lists!$I$4:$I$53,D224)&gt;0,"YES","NO"))</f>
        <v/>
      </c>
    </row>
    <row r="225" spans="1:11" x14ac:dyDescent="0.35">
      <c r="A225" s="12" t="str">
        <f>IF(Form_Raw_Data!A225="","",Form_Raw_Data!A225)</f>
        <v/>
      </c>
      <c r="B225" s="13" t="str">
        <f>IF(A225="","",Form_Raw_Data!B225)</f>
        <v/>
      </c>
      <c r="C225" s="14" t="str">
        <f>IF(A225="","",UPPER(TRIM(Form_Raw_Data!C225)))</f>
        <v/>
      </c>
      <c r="D225" s="14" t="str">
        <f>IF(A225="","",UPPER(TRIM(Form_Raw_Data!D225)))</f>
        <v/>
      </c>
      <c r="E225" s="14" t="str">
        <f>IF(A225="","",TRIM(Form_Raw_Data!E225))</f>
        <v/>
      </c>
      <c r="F225" s="12" t="str">
        <f>IF(A225="","",IF(Form_Raw_Data!F225="","",Form_Raw_Data!F225&amp;""))</f>
        <v/>
      </c>
      <c r="G225" s="14" t="str">
        <f>IF(A225="","",IF(ISNUMBER(Form_Raw_Data!F225),IF(AND(Form_Raw_Data!F225&gt;=0,Form_Raw_Data!F225&lt;=24),Form_Raw_Data!F225,""),""))</f>
        <v/>
      </c>
      <c r="H225" s="14" t="str">
        <f>IF(A225="","",TRIM(Form_Raw_Data!G225))</f>
        <v/>
      </c>
      <c r="I225" s="15" t="str">
        <f t="shared" si="3"/>
        <v/>
      </c>
      <c r="J225" s="15" t="str">
        <f>IF(A225="","",IF(COUNTIF(Lists!$A$4:$A$53,C225)&gt;0,"YES","NO"))</f>
        <v/>
      </c>
      <c r="K225" s="15" t="str">
        <f>IF(A225="","",IF(COUNTIF(Lists!$I$4:$I$53,D225)&gt;0,"YES","NO"))</f>
        <v/>
      </c>
    </row>
    <row r="226" spans="1:11" x14ac:dyDescent="0.35">
      <c r="A226" s="12" t="str">
        <f>IF(Form_Raw_Data!A226="","",Form_Raw_Data!A226)</f>
        <v/>
      </c>
      <c r="B226" s="13" t="str">
        <f>IF(A226="","",Form_Raw_Data!B226)</f>
        <v/>
      </c>
      <c r="C226" s="14" t="str">
        <f>IF(A226="","",UPPER(TRIM(Form_Raw_Data!C226)))</f>
        <v/>
      </c>
      <c r="D226" s="14" t="str">
        <f>IF(A226="","",UPPER(TRIM(Form_Raw_Data!D226)))</f>
        <v/>
      </c>
      <c r="E226" s="14" t="str">
        <f>IF(A226="","",TRIM(Form_Raw_Data!E226))</f>
        <v/>
      </c>
      <c r="F226" s="12" t="str">
        <f>IF(A226="","",IF(Form_Raw_Data!F226="","",Form_Raw_Data!F226&amp;""))</f>
        <v/>
      </c>
      <c r="G226" s="14" t="str">
        <f>IF(A226="","",IF(ISNUMBER(Form_Raw_Data!F226),IF(AND(Form_Raw_Data!F226&gt;=0,Form_Raw_Data!F226&lt;=24),Form_Raw_Data!F226,""),""))</f>
        <v/>
      </c>
      <c r="H226" s="14" t="str">
        <f>IF(A226="","",TRIM(Form_Raw_Data!G226))</f>
        <v/>
      </c>
      <c r="I226" s="15" t="str">
        <f t="shared" si="3"/>
        <v/>
      </c>
      <c r="J226" s="15" t="str">
        <f>IF(A226="","",IF(COUNTIF(Lists!$A$4:$A$53,C226)&gt;0,"YES","NO"))</f>
        <v/>
      </c>
      <c r="K226" s="15" t="str">
        <f>IF(A226="","",IF(COUNTIF(Lists!$I$4:$I$53,D226)&gt;0,"YES","NO"))</f>
        <v/>
      </c>
    </row>
    <row r="227" spans="1:11" x14ac:dyDescent="0.35">
      <c r="A227" s="12" t="str">
        <f>IF(Form_Raw_Data!A227="","",Form_Raw_Data!A227)</f>
        <v/>
      </c>
      <c r="B227" s="13" t="str">
        <f>IF(A227="","",Form_Raw_Data!B227)</f>
        <v/>
      </c>
      <c r="C227" s="14" t="str">
        <f>IF(A227="","",UPPER(TRIM(Form_Raw_Data!C227)))</f>
        <v/>
      </c>
      <c r="D227" s="14" t="str">
        <f>IF(A227="","",UPPER(TRIM(Form_Raw_Data!D227)))</f>
        <v/>
      </c>
      <c r="E227" s="14" t="str">
        <f>IF(A227="","",TRIM(Form_Raw_Data!E227))</f>
        <v/>
      </c>
      <c r="F227" s="12" t="str">
        <f>IF(A227="","",IF(Form_Raw_Data!F227="","",Form_Raw_Data!F227&amp;""))</f>
        <v/>
      </c>
      <c r="G227" s="14" t="str">
        <f>IF(A227="","",IF(ISNUMBER(Form_Raw_Data!F227),IF(AND(Form_Raw_Data!F227&gt;=0,Form_Raw_Data!F227&lt;=24),Form_Raw_Data!F227,""),""))</f>
        <v/>
      </c>
      <c r="H227" s="14" t="str">
        <f>IF(A227="","",TRIM(Form_Raw_Data!G227))</f>
        <v/>
      </c>
      <c r="I227" s="15" t="str">
        <f t="shared" si="3"/>
        <v/>
      </c>
      <c r="J227" s="15" t="str">
        <f>IF(A227="","",IF(COUNTIF(Lists!$A$4:$A$53,C227)&gt;0,"YES","NO"))</f>
        <v/>
      </c>
      <c r="K227" s="15" t="str">
        <f>IF(A227="","",IF(COUNTIF(Lists!$I$4:$I$53,D227)&gt;0,"YES","NO"))</f>
        <v/>
      </c>
    </row>
    <row r="228" spans="1:11" x14ac:dyDescent="0.35">
      <c r="A228" s="12" t="str">
        <f>IF(Form_Raw_Data!A228="","",Form_Raw_Data!A228)</f>
        <v/>
      </c>
      <c r="B228" s="13" t="str">
        <f>IF(A228="","",Form_Raw_Data!B228)</f>
        <v/>
      </c>
      <c r="C228" s="14" t="str">
        <f>IF(A228="","",UPPER(TRIM(Form_Raw_Data!C228)))</f>
        <v/>
      </c>
      <c r="D228" s="14" t="str">
        <f>IF(A228="","",UPPER(TRIM(Form_Raw_Data!D228)))</f>
        <v/>
      </c>
      <c r="E228" s="14" t="str">
        <f>IF(A228="","",TRIM(Form_Raw_Data!E228))</f>
        <v/>
      </c>
      <c r="F228" s="12" t="str">
        <f>IF(A228="","",IF(Form_Raw_Data!F228="","",Form_Raw_Data!F228&amp;""))</f>
        <v/>
      </c>
      <c r="G228" s="14" t="str">
        <f>IF(A228="","",IF(ISNUMBER(Form_Raw_Data!F228),IF(AND(Form_Raw_Data!F228&gt;=0,Form_Raw_Data!F228&lt;=24),Form_Raw_Data!F228,""),""))</f>
        <v/>
      </c>
      <c r="H228" s="14" t="str">
        <f>IF(A228="","",TRIM(Form_Raw_Data!G228))</f>
        <v/>
      </c>
      <c r="I228" s="15" t="str">
        <f t="shared" si="3"/>
        <v/>
      </c>
      <c r="J228" s="15" t="str">
        <f>IF(A228="","",IF(COUNTIF(Lists!$A$4:$A$53,C228)&gt;0,"YES","NO"))</f>
        <v/>
      </c>
      <c r="K228" s="15" t="str">
        <f>IF(A228="","",IF(COUNTIF(Lists!$I$4:$I$53,D228)&gt;0,"YES","NO"))</f>
        <v/>
      </c>
    </row>
    <row r="229" spans="1:11" x14ac:dyDescent="0.35">
      <c r="A229" s="12" t="str">
        <f>IF(Form_Raw_Data!A229="","",Form_Raw_Data!A229)</f>
        <v/>
      </c>
      <c r="B229" s="13" t="str">
        <f>IF(A229="","",Form_Raw_Data!B229)</f>
        <v/>
      </c>
      <c r="C229" s="14" t="str">
        <f>IF(A229="","",UPPER(TRIM(Form_Raw_Data!C229)))</f>
        <v/>
      </c>
      <c r="D229" s="14" t="str">
        <f>IF(A229="","",UPPER(TRIM(Form_Raw_Data!D229)))</f>
        <v/>
      </c>
      <c r="E229" s="14" t="str">
        <f>IF(A229="","",TRIM(Form_Raw_Data!E229))</f>
        <v/>
      </c>
      <c r="F229" s="12" t="str">
        <f>IF(A229="","",IF(Form_Raw_Data!F229="","",Form_Raw_Data!F229&amp;""))</f>
        <v/>
      </c>
      <c r="G229" s="14" t="str">
        <f>IF(A229="","",IF(ISNUMBER(Form_Raw_Data!F229),IF(AND(Form_Raw_Data!F229&gt;=0,Form_Raw_Data!F229&lt;=24),Form_Raw_Data!F229,""),""))</f>
        <v/>
      </c>
      <c r="H229" s="14" t="str">
        <f>IF(A229="","",TRIM(Form_Raw_Data!G229))</f>
        <v/>
      </c>
      <c r="I229" s="15" t="str">
        <f t="shared" si="3"/>
        <v/>
      </c>
      <c r="J229" s="15" t="str">
        <f>IF(A229="","",IF(COUNTIF(Lists!$A$4:$A$53,C229)&gt;0,"YES","NO"))</f>
        <v/>
      </c>
      <c r="K229" s="15" t="str">
        <f>IF(A229="","",IF(COUNTIF(Lists!$I$4:$I$53,D229)&gt;0,"YES","NO"))</f>
        <v/>
      </c>
    </row>
    <row r="230" spans="1:11" x14ac:dyDescent="0.35">
      <c r="A230" s="12" t="str">
        <f>IF(Form_Raw_Data!A230="","",Form_Raw_Data!A230)</f>
        <v/>
      </c>
      <c r="B230" s="13" t="str">
        <f>IF(A230="","",Form_Raw_Data!B230)</f>
        <v/>
      </c>
      <c r="C230" s="14" t="str">
        <f>IF(A230="","",UPPER(TRIM(Form_Raw_Data!C230)))</f>
        <v/>
      </c>
      <c r="D230" s="14" t="str">
        <f>IF(A230="","",UPPER(TRIM(Form_Raw_Data!D230)))</f>
        <v/>
      </c>
      <c r="E230" s="14" t="str">
        <f>IF(A230="","",TRIM(Form_Raw_Data!E230))</f>
        <v/>
      </c>
      <c r="F230" s="12" t="str">
        <f>IF(A230="","",IF(Form_Raw_Data!F230="","",Form_Raw_Data!F230&amp;""))</f>
        <v/>
      </c>
      <c r="G230" s="14" t="str">
        <f>IF(A230="","",IF(ISNUMBER(Form_Raw_Data!F230),IF(AND(Form_Raw_Data!F230&gt;=0,Form_Raw_Data!F230&lt;=24),Form_Raw_Data!F230,""),""))</f>
        <v/>
      </c>
      <c r="H230" s="14" t="str">
        <f>IF(A230="","",TRIM(Form_Raw_Data!G230))</f>
        <v/>
      </c>
      <c r="I230" s="15" t="str">
        <f t="shared" si="3"/>
        <v/>
      </c>
      <c r="J230" s="15" t="str">
        <f>IF(A230="","",IF(COUNTIF(Lists!$A$4:$A$53,C230)&gt;0,"YES","NO"))</f>
        <v/>
      </c>
      <c r="K230" s="15" t="str">
        <f>IF(A230="","",IF(COUNTIF(Lists!$I$4:$I$53,D230)&gt;0,"YES","NO"))</f>
        <v/>
      </c>
    </row>
    <row r="231" spans="1:11" x14ac:dyDescent="0.35">
      <c r="A231" s="12" t="str">
        <f>IF(Form_Raw_Data!A231="","",Form_Raw_Data!A231)</f>
        <v/>
      </c>
      <c r="B231" s="13" t="str">
        <f>IF(A231="","",Form_Raw_Data!B231)</f>
        <v/>
      </c>
      <c r="C231" s="14" t="str">
        <f>IF(A231="","",UPPER(TRIM(Form_Raw_Data!C231)))</f>
        <v/>
      </c>
      <c r="D231" s="14" t="str">
        <f>IF(A231="","",UPPER(TRIM(Form_Raw_Data!D231)))</f>
        <v/>
      </c>
      <c r="E231" s="14" t="str">
        <f>IF(A231="","",TRIM(Form_Raw_Data!E231))</f>
        <v/>
      </c>
      <c r="F231" s="12" t="str">
        <f>IF(A231="","",IF(Form_Raw_Data!F231="","",Form_Raw_Data!F231&amp;""))</f>
        <v/>
      </c>
      <c r="G231" s="14" t="str">
        <f>IF(A231="","",IF(ISNUMBER(Form_Raw_Data!F231),IF(AND(Form_Raw_Data!F231&gt;=0,Form_Raw_Data!F231&lt;=24),Form_Raw_Data!F231,""),""))</f>
        <v/>
      </c>
      <c r="H231" s="14" t="str">
        <f>IF(A231="","",TRIM(Form_Raw_Data!G231))</f>
        <v/>
      </c>
      <c r="I231" s="15" t="str">
        <f t="shared" si="3"/>
        <v/>
      </c>
      <c r="J231" s="15" t="str">
        <f>IF(A231="","",IF(COUNTIF(Lists!$A$4:$A$53,C231)&gt;0,"YES","NO"))</f>
        <v/>
      </c>
      <c r="K231" s="15" t="str">
        <f>IF(A231="","",IF(COUNTIF(Lists!$I$4:$I$53,D231)&gt;0,"YES","NO"))</f>
        <v/>
      </c>
    </row>
    <row r="232" spans="1:11" x14ac:dyDescent="0.35">
      <c r="A232" s="12" t="str">
        <f>IF(Form_Raw_Data!A232="","",Form_Raw_Data!A232)</f>
        <v/>
      </c>
      <c r="B232" s="13" t="str">
        <f>IF(A232="","",Form_Raw_Data!B232)</f>
        <v/>
      </c>
      <c r="C232" s="14" t="str">
        <f>IF(A232="","",UPPER(TRIM(Form_Raw_Data!C232)))</f>
        <v/>
      </c>
      <c r="D232" s="14" t="str">
        <f>IF(A232="","",UPPER(TRIM(Form_Raw_Data!D232)))</f>
        <v/>
      </c>
      <c r="E232" s="14" t="str">
        <f>IF(A232="","",TRIM(Form_Raw_Data!E232))</f>
        <v/>
      </c>
      <c r="F232" s="12" t="str">
        <f>IF(A232="","",IF(Form_Raw_Data!F232="","",Form_Raw_Data!F232&amp;""))</f>
        <v/>
      </c>
      <c r="G232" s="14" t="str">
        <f>IF(A232="","",IF(ISNUMBER(Form_Raw_Data!F232),IF(AND(Form_Raw_Data!F232&gt;=0,Form_Raw_Data!F232&lt;=24),Form_Raw_Data!F232,""),""))</f>
        <v/>
      </c>
      <c r="H232" s="14" t="str">
        <f>IF(A232="","",TRIM(Form_Raw_Data!G232))</f>
        <v/>
      </c>
      <c r="I232" s="15" t="str">
        <f t="shared" si="3"/>
        <v/>
      </c>
      <c r="J232" s="15" t="str">
        <f>IF(A232="","",IF(COUNTIF(Lists!$A$4:$A$53,C232)&gt;0,"YES","NO"))</f>
        <v/>
      </c>
      <c r="K232" s="15" t="str">
        <f>IF(A232="","",IF(COUNTIF(Lists!$I$4:$I$53,D232)&gt;0,"YES","NO"))</f>
        <v/>
      </c>
    </row>
    <row r="233" spans="1:11" x14ac:dyDescent="0.35">
      <c r="A233" s="12" t="str">
        <f>IF(Form_Raw_Data!A233="","",Form_Raw_Data!A233)</f>
        <v/>
      </c>
      <c r="B233" s="13" t="str">
        <f>IF(A233="","",Form_Raw_Data!B233)</f>
        <v/>
      </c>
      <c r="C233" s="14" t="str">
        <f>IF(A233="","",UPPER(TRIM(Form_Raw_Data!C233)))</f>
        <v/>
      </c>
      <c r="D233" s="14" t="str">
        <f>IF(A233="","",UPPER(TRIM(Form_Raw_Data!D233)))</f>
        <v/>
      </c>
      <c r="E233" s="14" t="str">
        <f>IF(A233="","",TRIM(Form_Raw_Data!E233))</f>
        <v/>
      </c>
      <c r="F233" s="12" t="str">
        <f>IF(A233="","",IF(Form_Raw_Data!F233="","",Form_Raw_Data!F233&amp;""))</f>
        <v/>
      </c>
      <c r="G233" s="14" t="str">
        <f>IF(A233="","",IF(ISNUMBER(Form_Raw_Data!F233),IF(AND(Form_Raw_Data!F233&gt;=0,Form_Raw_Data!F233&lt;=24),Form_Raw_Data!F233,""),""))</f>
        <v/>
      </c>
      <c r="H233" s="14" t="str">
        <f>IF(A233="","",TRIM(Form_Raw_Data!G233))</f>
        <v/>
      </c>
      <c r="I233" s="15" t="str">
        <f t="shared" si="3"/>
        <v/>
      </c>
      <c r="J233" s="15" t="str">
        <f>IF(A233="","",IF(COUNTIF(Lists!$A$4:$A$53,C233)&gt;0,"YES","NO"))</f>
        <v/>
      </c>
      <c r="K233" s="15" t="str">
        <f>IF(A233="","",IF(COUNTIF(Lists!$I$4:$I$53,D233)&gt;0,"YES","NO"))</f>
        <v/>
      </c>
    </row>
    <row r="234" spans="1:11" x14ac:dyDescent="0.35">
      <c r="A234" s="12" t="str">
        <f>IF(Form_Raw_Data!A234="","",Form_Raw_Data!A234)</f>
        <v/>
      </c>
      <c r="B234" s="13" t="str">
        <f>IF(A234="","",Form_Raw_Data!B234)</f>
        <v/>
      </c>
      <c r="C234" s="14" t="str">
        <f>IF(A234="","",UPPER(TRIM(Form_Raw_Data!C234)))</f>
        <v/>
      </c>
      <c r="D234" s="14" t="str">
        <f>IF(A234="","",UPPER(TRIM(Form_Raw_Data!D234)))</f>
        <v/>
      </c>
      <c r="E234" s="14" t="str">
        <f>IF(A234="","",TRIM(Form_Raw_Data!E234))</f>
        <v/>
      </c>
      <c r="F234" s="12" t="str">
        <f>IF(A234="","",IF(Form_Raw_Data!F234="","",Form_Raw_Data!F234&amp;""))</f>
        <v/>
      </c>
      <c r="G234" s="14" t="str">
        <f>IF(A234="","",IF(ISNUMBER(Form_Raw_Data!F234),IF(AND(Form_Raw_Data!F234&gt;=0,Form_Raw_Data!F234&lt;=24),Form_Raw_Data!F234,""),""))</f>
        <v/>
      </c>
      <c r="H234" s="14" t="str">
        <f>IF(A234="","",TRIM(Form_Raw_Data!G234))</f>
        <v/>
      </c>
      <c r="I234" s="15" t="str">
        <f t="shared" si="3"/>
        <v/>
      </c>
      <c r="J234" s="15" t="str">
        <f>IF(A234="","",IF(COUNTIF(Lists!$A$4:$A$53,C234)&gt;0,"YES","NO"))</f>
        <v/>
      </c>
      <c r="K234" s="15" t="str">
        <f>IF(A234="","",IF(COUNTIF(Lists!$I$4:$I$53,D234)&gt;0,"YES","NO"))</f>
        <v/>
      </c>
    </row>
    <row r="235" spans="1:11" x14ac:dyDescent="0.35">
      <c r="A235" s="12" t="str">
        <f>IF(Form_Raw_Data!A235="","",Form_Raw_Data!A235)</f>
        <v/>
      </c>
      <c r="B235" s="13" t="str">
        <f>IF(A235="","",Form_Raw_Data!B235)</f>
        <v/>
      </c>
      <c r="C235" s="14" t="str">
        <f>IF(A235="","",UPPER(TRIM(Form_Raw_Data!C235)))</f>
        <v/>
      </c>
      <c r="D235" s="14" t="str">
        <f>IF(A235="","",UPPER(TRIM(Form_Raw_Data!D235)))</f>
        <v/>
      </c>
      <c r="E235" s="14" t="str">
        <f>IF(A235="","",TRIM(Form_Raw_Data!E235))</f>
        <v/>
      </c>
      <c r="F235" s="12" t="str">
        <f>IF(A235="","",IF(Form_Raw_Data!F235="","",Form_Raw_Data!F235&amp;""))</f>
        <v/>
      </c>
      <c r="G235" s="14" t="str">
        <f>IF(A235="","",IF(ISNUMBER(Form_Raw_Data!F235),IF(AND(Form_Raw_Data!F235&gt;=0,Form_Raw_Data!F235&lt;=24),Form_Raw_Data!F235,""),""))</f>
        <v/>
      </c>
      <c r="H235" s="14" t="str">
        <f>IF(A235="","",TRIM(Form_Raw_Data!G235))</f>
        <v/>
      </c>
      <c r="I235" s="15" t="str">
        <f t="shared" si="3"/>
        <v/>
      </c>
      <c r="J235" s="15" t="str">
        <f>IF(A235="","",IF(COUNTIF(Lists!$A$4:$A$53,C235)&gt;0,"YES","NO"))</f>
        <v/>
      </c>
      <c r="K235" s="15" t="str">
        <f>IF(A235="","",IF(COUNTIF(Lists!$I$4:$I$53,D235)&gt;0,"YES","NO"))</f>
        <v/>
      </c>
    </row>
    <row r="236" spans="1:11" x14ac:dyDescent="0.35">
      <c r="A236" s="12" t="str">
        <f>IF(Form_Raw_Data!A236="","",Form_Raw_Data!A236)</f>
        <v/>
      </c>
      <c r="B236" s="13" t="str">
        <f>IF(A236="","",Form_Raw_Data!B236)</f>
        <v/>
      </c>
      <c r="C236" s="14" t="str">
        <f>IF(A236="","",UPPER(TRIM(Form_Raw_Data!C236)))</f>
        <v/>
      </c>
      <c r="D236" s="14" t="str">
        <f>IF(A236="","",UPPER(TRIM(Form_Raw_Data!D236)))</f>
        <v/>
      </c>
      <c r="E236" s="14" t="str">
        <f>IF(A236="","",TRIM(Form_Raw_Data!E236))</f>
        <v/>
      </c>
      <c r="F236" s="12" t="str">
        <f>IF(A236="","",IF(Form_Raw_Data!F236="","",Form_Raw_Data!F236&amp;""))</f>
        <v/>
      </c>
      <c r="G236" s="14" t="str">
        <f>IF(A236="","",IF(ISNUMBER(Form_Raw_Data!F236),IF(AND(Form_Raw_Data!F236&gt;=0,Form_Raw_Data!F236&lt;=24),Form_Raw_Data!F236,""),""))</f>
        <v/>
      </c>
      <c r="H236" s="14" t="str">
        <f>IF(A236="","",TRIM(Form_Raw_Data!G236))</f>
        <v/>
      </c>
      <c r="I236" s="15" t="str">
        <f t="shared" si="3"/>
        <v/>
      </c>
      <c r="J236" s="15" t="str">
        <f>IF(A236="","",IF(COUNTIF(Lists!$A$4:$A$53,C236)&gt;0,"YES","NO"))</f>
        <v/>
      </c>
      <c r="K236" s="15" t="str">
        <f>IF(A236="","",IF(COUNTIF(Lists!$I$4:$I$53,D236)&gt;0,"YES","NO"))</f>
        <v/>
      </c>
    </row>
    <row r="237" spans="1:11" x14ac:dyDescent="0.35">
      <c r="A237" s="12" t="str">
        <f>IF(Form_Raw_Data!A237="","",Form_Raw_Data!A237)</f>
        <v/>
      </c>
      <c r="B237" s="13" t="str">
        <f>IF(A237="","",Form_Raw_Data!B237)</f>
        <v/>
      </c>
      <c r="C237" s="14" t="str">
        <f>IF(A237="","",UPPER(TRIM(Form_Raw_Data!C237)))</f>
        <v/>
      </c>
      <c r="D237" s="14" t="str">
        <f>IF(A237="","",UPPER(TRIM(Form_Raw_Data!D237)))</f>
        <v/>
      </c>
      <c r="E237" s="14" t="str">
        <f>IF(A237="","",TRIM(Form_Raw_Data!E237))</f>
        <v/>
      </c>
      <c r="F237" s="12" t="str">
        <f>IF(A237="","",IF(Form_Raw_Data!F237="","",Form_Raw_Data!F237&amp;""))</f>
        <v/>
      </c>
      <c r="G237" s="14" t="str">
        <f>IF(A237="","",IF(ISNUMBER(Form_Raw_Data!F237),IF(AND(Form_Raw_Data!F237&gt;=0,Form_Raw_Data!F237&lt;=24),Form_Raw_Data!F237,""),""))</f>
        <v/>
      </c>
      <c r="H237" s="14" t="str">
        <f>IF(A237="","",TRIM(Form_Raw_Data!G237))</f>
        <v/>
      </c>
      <c r="I237" s="15" t="str">
        <f t="shared" si="3"/>
        <v/>
      </c>
      <c r="J237" s="15" t="str">
        <f>IF(A237="","",IF(COUNTIF(Lists!$A$4:$A$53,C237)&gt;0,"YES","NO"))</f>
        <v/>
      </c>
      <c r="K237" s="15" t="str">
        <f>IF(A237="","",IF(COUNTIF(Lists!$I$4:$I$53,D237)&gt;0,"YES","NO"))</f>
        <v/>
      </c>
    </row>
    <row r="238" spans="1:11" x14ac:dyDescent="0.35">
      <c r="A238" s="12" t="str">
        <f>IF(Form_Raw_Data!A238="","",Form_Raw_Data!A238)</f>
        <v/>
      </c>
      <c r="B238" s="13" t="str">
        <f>IF(A238="","",Form_Raw_Data!B238)</f>
        <v/>
      </c>
      <c r="C238" s="14" t="str">
        <f>IF(A238="","",UPPER(TRIM(Form_Raw_Data!C238)))</f>
        <v/>
      </c>
      <c r="D238" s="14" t="str">
        <f>IF(A238="","",UPPER(TRIM(Form_Raw_Data!D238)))</f>
        <v/>
      </c>
      <c r="E238" s="14" t="str">
        <f>IF(A238="","",TRIM(Form_Raw_Data!E238))</f>
        <v/>
      </c>
      <c r="F238" s="12" t="str">
        <f>IF(A238="","",IF(Form_Raw_Data!F238="","",Form_Raw_Data!F238&amp;""))</f>
        <v/>
      </c>
      <c r="G238" s="14" t="str">
        <f>IF(A238="","",IF(ISNUMBER(Form_Raw_Data!F238),IF(AND(Form_Raw_Data!F238&gt;=0,Form_Raw_Data!F238&lt;=24),Form_Raw_Data!F238,""),""))</f>
        <v/>
      </c>
      <c r="H238" s="14" t="str">
        <f>IF(A238="","",TRIM(Form_Raw_Data!G238))</f>
        <v/>
      </c>
      <c r="I238" s="15" t="str">
        <f t="shared" si="3"/>
        <v/>
      </c>
      <c r="J238" s="15" t="str">
        <f>IF(A238="","",IF(COUNTIF(Lists!$A$4:$A$53,C238)&gt;0,"YES","NO"))</f>
        <v/>
      </c>
      <c r="K238" s="15" t="str">
        <f>IF(A238="","",IF(COUNTIF(Lists!$I$4:$I$53,D238)&gt;0,"YES","NO"))</f>
        <v/>
      </c>
    </row>
    <row r="239" spans="1:11" x14ac:dyDescent="0.35">
      <c r="A239" s="12" t="str">
        <f>IF(Form_Raw_Data!A239="","",Form_Raw_Data!A239)</f>
        <v/>
      </c>
      <c r="B239" s="13" t="str">
        <f>IF(A239="","",Form_Raw_Data!B239)</f>
        <v/>
      </c>
      <c r="C239" s="14" t="str">
        <f>IF(A239="","",UPPER(TRIM(Form_Raw_Data!C239)))</f>
        <v/>
      </c>
      <c r="D239" s="14" t="str">
        <f>IF(A239="","",UPPER(TRIM(Form_Raw_Data!D239)))</f>
        <v/>
      </c>
      <c r="E239" s="14" t="str">
        <f>IF(A239="","",TRIM(Form_Raw_Data!E239))</f>
        <v/>
      </c>
      <c r="F239" s="12" t="str">
        <f>IF(A239="","",IF(Form_Raw_Data!F239="","",Form_Raw_Data!F239&amp;""))</f>
        <v/>
      </c>
      <c r="G239" s="14" t="str">
        <f>IF(A239="","",IF(ISNUMBER(Form_Raw_Data!F239),IF(AND(Form_Raw_Data!F239&gt;=0,Form_Raw_Data!F239&lt;=24),Form_Raw_Data!F239,""),""))</f>
        <v/>
      </c>
      <c r="H239" s="14" t="str">
        <f>IF(A239="","",TRIM(Form_Raw_Data!G239))</f>
        <v/>
      </c>
      <c r="I239" s="15" t="str">
        <f t="shared" si="3"/>
        <v/>
      </c>
      <c r="J239" s="15" t="str">
        <f>IF(A239="","",IF(COUNTIF(Lists!$A$4:$A$53,C239)&gt;0,"YES","NO"))</f>
        <v/>
      </c>
      <c r="K239" s="15" t="str">
        <f>IF(A239="","",IF(COUNTIF(Lists!$I$4:$I$53,D239)&gt;0,"YES","NO"))</f>
        <v/>
      </c>
    </row>
    <row r="240" spans="1:11" x14ac:dyDescent="0.35">
      <c r="A240" s="12" t="str">
        <f>IF(Form_Raw_Data!A240="","",Form_Raw_Data!A240)</f>
        <v/>
      </c>
      <c r="B240" s="13" t="str">
        <f>IF(A240="","",Form_Raw_Data!B240)</f>
        <v/>
      </c>
      <c r="C240" s="14" t="str">
        <f>IF(A240="","",UPPER(TRIM(Form_Raw_Data!C240)))</f>
        <v/>
      </c>
      <c r="D240" s="14" t="str">
        <f>IF(A240="","",UPPER(TRIM(Form_Raw_Data!D240)))</f>
        <v/>
      </c>
      <c r="E240" s="14" t="str">
        <f>IF(A240="","",TRIM(Form_Raw_Data!E240))</f>
        <v/>
      </c>
      <c r="F240" s="12" t="str">
        <f>IF(A240="","",IF(Form_Raw_Data!F240="","",Form_Raw_Data!F240&amp;""))</f>
        <v/>
      </c>
      <c r="G240" s="14" t="str">
        <f>IF(A240="","",IF(ISNUMBER(Form_Raw_Data!F240),IF(AND(Form_Raw_Data!F240&gt;=0,Form_Raw_Data!F240&lt;=24),Form_Raw_Data!F240,""),""))</f>
        <v/>
      </c>
      <c r="H240" s="14" t="str">
        <f>IF(A240="","",TRIM(Form_Raw_Data!G240))</f>
        <v/>
      </c>
      <c r="I240" s="15" t="str">
        <f t="shared" si="3"/>
        <v/>
      </c>
      <c r="J240" s="15" t="str">
        <f>IF(A240="","",IF(COUNTIF(Lists!$A$4:$A$53,C240)&gt;0,"YES","NO"))</f>
        <v/>
      </c>
      <c r="K240" s="15" t="str">
        <f>IF(A240="","",IF(COUNTIF(Lists!$I$4:$I$53,D240)&gt;0,"YES","NO"))</f>
        <v/>
      </c>
    </row>
    <row r="241" spans="1:11" x14ac:dyDescent="0.35">
      <c r="A241" s="12" t="str">
        <f>IF(Form_Raw_Data!A241="","",Form_Raw_Data!A241)</f>
        <v/>
      </c>
      <c r="B241" s="13" t="str">
        <f>IF(A241="","",Form_Raw_Data!B241)</f>
        <v/>
      </c>
      <c r="C241" s="14" t="str">
        <f>IF(A241="","",UPPER(TRIM(Form_Raw_Data!C241)))</f>
        <v/>
      </c>
      <c r="D241" s="14" t="str">
        <f>IF(A241="","",UPPER(TRIM(Form_Raw_Data!D241)))</f>
        <v/>
      </c>
      <c r="E241" s="14" t="str">
        <f>IF(A241="","",TRIM(Form_Raw_Data!E241))</f>
        <v/>
      </c>
      <c r="F241" s="12" t="str">
        <f>IF(A241="","",IF(Form_Raw_Data!F241="","",Form_Raw_Data!F241&amp;""))</f>
        <v/>
      </c>
      <c r="G241" s="14" t="str">
        <f>IF(A241="","",IF(ISNUMBER(Form_Raw_Data!F241),IF(AND(Form_Raw_Data!F241&gt;=0,Form_Raw_Data!F241&lt;=24),Form_Raw_Data!F241,""),""))</f>
        <v/>
      </c>
      <c r="H241" s="14" t="str">
        <f>IF(A241="","",TRIM(Form_Raw_Data!G241))</f>
        <v/>
      </c>
      <c r="I241" s="15" t="str">
        <f t="shared" si="3"/>
        <v/>
      </c>
      <c r="J241" s="15" t="str">
        <f>IF(A241="","",IF(COUNTIF(Lists!$A$4:$A$53,C241)&gt;0,"YES","NO"))</f>
        <v/>
      </c>
      <c r="K241" s="15" t="str">
        <f>IF(A241="","",IF(COUNTIF(Lists!$I$4:$I$53,D241)&gt;0,"YES","NO"))</f>
        <v/>
      </c>
    </row>
    <row r="242" spans="1:11" x14ac:dyDescent="0.35">
      <c r="A242" s="12" t="str">
        <f>IF(Form_Raw_Data!A242="","",Form_Raw_Data!A242)</f>
        <v/>
      </c>
      <c r="B242" s="13" t="str">
        <f>IF(A242="","",Form_Raw_Data!B242)</f>
        <v/>
      </c>
      <c r="C242" s="14" t="str">
        <f>IF(A242="","",UPPER(TRIM(Form_Raw_Data!C242)))</f>
        <v/>
      </c>
      <c r="D242" s="14" t="str">
        <f>IF(A242="","",UPPER(TRIM(Form_Raw_Data!D242)))</f>
        <v/>
      </c>
      <c r="E242" s="14" t="str">
        <f>IF(A242="","",TRIM(Form_Raw_Data!E242))</f>
        <v/>
      </c>
      <c r="F242" s="12" t="str">
        <f>IF(A242="","",IF(Form_Raw_Data!F242="","",Form_Raw_Data!F242&amp;""))</f>
        <v/>
      </c>
      <c r="G242" s="14" t="str">
        <f>IF(A242="","",IF(ISNUMBER(Form_Raw_Data!F242),IF(AND(Form_Raw_Data!F242&gt;=0,Form_Raw_Data!F242&lt;=24),Form_Raw_Data!F242,""),""))</f>
        <v/>
      </c>
      <c r="H242" s="14" t="str">
        <f>IF(A242="","",TRIM(Form_Raw_Data!G242))</f>
        <v/>
      </c>
      <c r="I242" s="15" t="str">
        <f t="shared" si="3"/>
        <v/>
      </c>
      <c r="J242" s="15" t="str">
        <f>IF(A242="","",IF(COUNTIF(Lists!$A$4:$A$53,C242)&gt;0,"YES","NO"))</f>
        <v/>
      </c>
      <c r="K242" s="15" t="str">
        <f>IF(A242="","",IF(COUNTIF(Lists!$I$4:$I$53,D242)&gt;0,"YES","NO"))</f>
        <v/>
      </c>
    </row>
    <row r="243" spans="1:11" x14ac:dyDescent="0.35">
      <c r="A243" s="12" t="str">
        <f>IF(Form_Raw_Data!A243="","",Form_Raw_Data!A243)</f>
        <v/>
      </c>
      <c r="B243" s="13" t="str">
        <f>IF(A243="","",Form_Raw_Data!B243)</f>
        <v/>
      </c>
      <c r="C243" s="14" t="str">
        <f>IF(A243="","",UPPER(TRIM(Form_Raw_Data!C243)))</f>
        <v/>
      </c>
      <c r="D243" s="14" t="str">
        <f>IF(A243="","",UPPER(TRIM(Form_Raw_Data!D243)))</f>
        <v/>
      </c>
      <c r="E243" s="14" t="str">
        <f>IF(A243="","",TRIM(Form_Raw_Data!E243))</f>
        <v/>
      </c>
      <c r="F243" s="12" t="str">
        <f>IF(A243="","",IF(Form_Raw_Data!F243="","",Form_Raw_Data!F243&amp;""))</f>
        <v/>
      </c>
      <c r="G243" s="14" t="str">
        <f>IF(A243="","",IF(ISNUMBER(Form_Raw_Data!F243),IF(AND(Form_Raw_Data!F243&gt;=0,Form_Raw_Data!F243&lt;=24),Form_Raw_Data!F243,""),""))</f>
        <v/>
      </c>
      <c r="H243" s="14" t="str">
        <f>IF(A243="","",TRIM(Form_Raw_Data!G243))</f>
        <v/>
      </c>
      <c r="I243" s="15" t="str">
        <f t="shared" si="3"/>
        <v/>
      </c>
      <c r="J243" s="15" t="str">
        <f>IF(A243="","",IF(COUNTIF(Lists!$A$4:$A$53,C243)&gt;0,"YES","NO"))</f>
        <v/>
      </c>
      <c r="K243" s="15" t="str">
        <f>IF(A243="","",IF(COUNTIF(Lists!$I$4:$I$53,D243)&gt;0,"YES","NO"))</f>
        <v/>
      </c>
    </row>
    <row r="244" spans="1:11" x14ac:dyDescent="0.35">
      <c r="A244" s="12" t="str">
        <f>IF(Form_Raw_Data!A244="","",Form_Raw_Data!A244)</f>
        <v/>
      </c>
      <c r="B244" s="13" t="str">
        <f>IF(A244="","",Form_Raw_Data!B244)</f>
        <v/>
      </c>
      <c r="C244" s="14" t="str">
        <f>IF(A244="","",UPPER(TRIM(Form_Raw_Data!C244)))</f>
        <v/>
      </c>
      <c r="D244" s="14" t="str">
        <f>IF(A244="","",UPPER(TRIM(Form_Raw_Data!D244)))</f>
        <v/>
      </c>
      <c r="E244" s="14" t="str">
        <f>IF(A244="","",TRIM(Form_Raw_Data!E244))</f>
        <v/>
      </c>
      <c r="F244" s="12" t="str">
        <f>IF(A244="","",IF(Form_Raw_Data!F244="","",Form_Raw_Data!F244&amp;""))</f>
        <v/>
      </c>
      <c r="G244" s="14" t="str">
        <f>IF(A244="","",IF(ISNUMBER(Form_Raw_Data!F244),IF(AND(Form_Raw_Data!F244&gt;=0,Form_Raw_Data!F244&lt;=24),Form_Raw_Data!F244,""),""))</f>
        <v/>
      </c>
      <c r="H244" s="14" t="str">
        <f>IF(A244="","",TRIM(Form_Raw_Data!G244))</f>
        <v/>
      </c>
      <c r="I244" s="15" t="str">
        <f t="shared" si="3"/>
        <v/>
      </c>
      <c r="J244" s="15" t="str">
        <f>IF(A244="","",IF(COUNTIF(Lists!$A$4:$A$53,C244)&gt;0,"YES","NO"))</f>
        <v/>
      </c>
      <c r="K244" s="15" t="str">
        <f>IF(A244="","",IF(COUNTIF(Lists!$I$4:$I$53,D244)&gt;0,"YES","NO"))</f>
        <v/>
      </c>
    </row>
    <row r="245" spans="1:11" x14ac:dyDescent="0.35">
      <c r="A245" s="12" t="str">
        <f>IF(Form_Raw_Data!A245="","",Form_Raw_Data!A245)</f>
        <v/>
      </c>
      <c r="B245" s="13" t="str">
        <f>IF(A245="","",Form_Raw_Data!B245)</f>
        <v/>
      </c>
      <c r="C245" s="14" t="str">
        <f>IF(A245="","",UPPER(TRIM(Form_Raw_Data!C245)))</f>
        <v/>
      </c>
      <c r="D245" s="14" t="str">
        <f>IF(A245="","",UPPER(TRIM(Form_Raw_Data!D245)))</f>
        <v/>
      </c>
      <c r="E245" s="14" t="str">
        <f>IF(A245="","",TRIM(Form_Raw_Data!E245))</f>
        <v/>
      </c>
      <c r="F245" s="12" t="str">
        <f>IF(A245="","",IF(Form_Raw_Data!F245="","",Form_Raw_Data!F245&amp;""))</f>
        <v/>
      </c>
      <c r="G245" s="14" t="str">
        <f>IF(A245="","",IF(ISNUMBER(Form_Raw_Data!F245),IF(AND(Form_Raw_Data!F245&gt;=0,Form_Raw_Data!F245&lt;=24),Form_Raw_Data!F245,""),""))</f>
        <v/>
      </c>
      <c r="H245" s="14" t="str">
        <f>IF(A245="","",TRIM(Form_Raw_Data!G245))</f>
        <v/>
      </c>
      <c r="I245" s="15" t="str">
        <f t="shared" si="3"/>
        <v/>
      </c>
      <c r="J245" s="15" t="str">
        <f>IF(A245="","",IF(COUNTIF(Lists!$A$4:$A$53,C245)&gt;0,"YES","NO"))</f>
        <v/>
      </c>
      <c r="K245" s="15" t="str">
        <f>IF(A245="","",IF(COUNTIF(Lists!$I$4:$I$53,D245)&gt;0,"YES","NO"))</f>
        <v/>
      </c>
    </row>
    <row r="246" spans="1:11" x14ac:dyDescent="0.35">
      <c r="A246" s="12" t="str">
        <f>IF(Form_Raw_Data!A246="","",Form_Raw_Data!A246)</f>
        <v/>
      </c>
      <c r="B246" s="13" t="str">
        <f>IF(A246="","",Form_Raw_Data!B246)</f>
        <v/>
      </c>
      <c r="C246" s="14" t="str">
        <f>IF(A246="","",UPPER(TRIM(Form_Raw_Data!C246)))</f>
        <v/>
      </c>
      <c r="D246" s="14" t="str">
        <f>IF(A246="","",UPPER(TRIM(Form_Raw_Data!D246)))</f>
        <v/>
      </c>
      <c r="E246" s="14" t="str">
        <f>IF(A246="","",TRIM(Form_Raw_Data!E246))</f>
        <v/>
      </c>
      <c r="F246" s="12" t="str">
        <f>IF(A246="","",IF(Form_Raw_Data!F246="","",Form_Raw_Data!F246&amp;""))</f>
        <v/>
      </c>
      <c r="G246" s="14" t="str">
        <f>IF(A246="","",IF(ISNUMBER(Form_Raw_Data!F246),IF(AND(Form_Raw_Data!F246&gt;=0,Form_Raw_Data!F246&lt;=24),Form_Raw_Data!F246,""),""))</f>
        <v/>
      </c>
      <c r="H246" s="14" t="str">
        <f>IF(A246="","",TRIM(Form_Raw_Data!G246))</f>
        <v/>
      </c>
      <c r="I246" s="15" t="str">
        <f t="shared" si="3"/>
        <v/>
      </c>
      <c r="J246" s="15" t="str">
        <f>IF(A246="","",IF(COUNTIF(Lists!$A$4:$A$53,C246)&gt;0,"YES","NO"))</f>
        <v/>
      </c>
      <c r="K246" s="15" t="str">
        <f>IF(A246="","",IF(COUNTIF(Lists!$I$4:$I$53,D246)&gt;0,"YES","NO"))</f>
        <v/>
      </c>
    </row>
    <row r="247" spans="1:11" x14ac:dyDescent="0.35">
      <c r="A247" s="12" t="str">
        <f>IF(Form_Raw_Data!A247="","",Form_Raw_Data!A247)</f>
        <v/>
      </c>
      <c r="B247" s="13" t="str">
        <f>IF(A247="","",Form_Raw_Data!B247)</f>
        <v/>
      </c>
      <c r="C247" s="14" t="str">
        <f>IF(A247="","",UPPER(TRIM(Form_Raw_Data!C247)))</f>
        <v/>
      </c>
      <c r="D247" s="14" t="str">
        <f>IF(A247="","",UPPER(TRIM(Form_Raw_Data!D247)))</f>
        <v/>
      </c>
      <c r="E247" s="14" t="str">
        <f>IF(A247="","",TRIM(Form_Raw_Data!E247))</f>
        <v/>
      </c>
      <c r="F247" s="12" t="str">
        <f>IF(A247="","",IF(Form_Raw_Data!F247="","",Form_Raw_Data!F247&amp;""))</f>
        <v/>
      </c>
      <c r="G247" s="14" t="str">
        <f>IF(A247="","",IF(ISNUMBER(Form_Raw_Data!F247),IF(AND(Form_Raw_Data!F247&gt;=0,Form_Raw_Data!F247&lt;=24),Form_Raw_Data!F247,""),""))</f>
        <v/>
      </c>
      <c r="H247" s="14" t="str">
        <f>IF(A247="","",TRIM(Form_Raw_Data!G247))</f>
        <v/>
      </c>
      <c r="I247" s="15" t="str">
        <f t="shared" si="3"/>
        <v/>
      </c>
      <c r="J247" s="15" t="str">
        <f>IF(A247="","",IF(COUNTIF(Lists!$A$4:$A$53,C247)&gt;0,"YES","NO"))</f>
        <v/>
      </c>
      <c r="K247" s="15" t="str">
        <f>IF(A247="","",IF(COUNTIF(Lists!$I$4:$I$53,D247)&gt;0,"YES","NO"))</f>
        <v/>
      </c>
    </row>
    <row r="248" spans="1:11" x14ac:dyDescent="0.35">
      <c r="A248" s="12" t="str">
        <f>IF(Form_Raw_Data!A248="","",Form_Raw_Data!A248)</f>
        <v/>
      </c>
      <c r="B248" s="13" t="str">
        <f>IF(A248="","",Form_Raw_Data!B248)</f>
        <v/>
      </c>
      <c r="C248" s="14" t="str">
        <f>IF(A248="","",UPPER(TRIM(Form_Raw_Data!C248)))</f>
        <v/>
      </c>
      <c r="D248" s="14" t="str">
        <f>IF(A248="","",UPPER(TRIM(Form_Raw_Data!D248)))</f>
        <v/>
      </c>
      <c r="E248" s="14" t="str">
        <f>IF(A248="","",TRIM(Form_Raw_Data!E248))</f>
        <v/>
      </c>
      <c r="F248" s="12" t="str">
        <f>IF(A248="","",IF(Form_Raw_Data!F248="","",Form_Raw_Data!F248&amp;""))</f>
        <v/>
      </c>
      <c r="G248" s="14" t="str">
        <f>IF(A248="","",IF(ISNUMBER(Form_Raw_Data!F248),IF(AND(Form_Raw_Data!F248&gt;=0,Form_Raw_Data!F248&lt;=24),Form_Raw_Data!F248,""),""))</f>
        <v/>
      </c>
      <c r="H248" s="14" t="str">
        <f>IF(A248="","",TRIM(Form_Raw_Data!G248))</f>
        <v/>
      </c>
      <c r="I248" s="15" t="str">
        <f t="shared" si="3"/>
        <v/>
      </c>
      <c r="J248" s="15" t="str">
        <f>IF(A248="","",IF(COUNTIF(Lists!$A$4:$A$53,C248)&gt;0,"YES","NO"))</f>
        <v/>
      </c>
      <c r="K248" s="15" t="str">
        <f>IF(A248="","",IF(COUNTIF(Lists!$I$4:$I$53,D248)&gt;0,"YES","NO"))</f>
        <v/>
      </c>
    </row>
    <row r="249" spans="1:11" x14ac:dyDescent="0.35">
      <c r="A249" s="12" t="str">
        <f>IF(Form_Raw_Data!A249="","",Form_Raw_Data!A249)</f>
        <v/>
      </c>
      <c r="B249" s="13" t="str">
        <f>IF(A249="","",Form_Raw_Data!B249)</f>
        <v/>
      </c>
      <c r="C249" s="14" t="str">
        <f>IF(A249="","",UPPER(TRIM(Form_Raw_Data!C249)))</f>
        <v/>
      </c>
      <c r="D249" s="14" t="str">
        <f>IF(A249="","",UPPER(TRIM(Form_Raw_Data!D249)))</f>
        <v/>
      </c>
      <c r="E249" s="14" t="str">
        <f>IF(A249="","",TRIM(Form_Raw_Data!E249))</f>
        <v/>
      </c>
      <c r="F249" s="12" t="str">
        <f>IF(A249="","",IF(Form_Raw_Data!F249="","",Form_Raw_Data!F249&amp;""))</f>
        <v/>
      </c>
      <c r="G249" s="14" t="str">
        <f>IF(A249="","",IF(ISNUMBER(Form_Raw_Data!F249),IF(AND(Form_Raw_Data!F249&gt;=0,Form_Raw_Data!F249&lt;=24),Form_Raw_Data!F249,""),""))</f>
        <v/>
      </c>
      <c r="H249" s="14" t="str">
        <f>IF(A249="","",TRIM(Form_Raw_Data!G249))</f>
        <v/>
      </c>
      <c r="I249" s="15" t="str">
        <f t="shared" si="3"/>
        <v/>
      </c>
      <c r="J249" s="15" t="str">
        <f>IF(A249="","",IF(COUNTIF(Lists!$A$4:$A$53,C249)&gt;0,"YES","NO"))</f>
        <v/>
      </c>
      <c r="K249" s="15" t="str">
        <f>IF(A249="","",IF(COUNTIF(Lists!$I$4:$I$53,D249)&gt;0,"YES","NO"))</f>
        <v/>
      </c>
    </row>
    <row r="250" spans="1:11" x14ac:dyDescent="0.35">
      <c r="A250" s="12" t="str">
        <f>IF(Form_Raw_Data!A250="","",Form_Raw_Data!A250)</f>
        <v/>
      </c>
      <c r="B250" s="13" t="str">
        <f>IF(A250="","",Form_Raw_Data!B250)</f>
        <v/>
      </c>
      <c r="C250" s="14" t="str">
        <f>IF(A250="","",UPPER(TRIM(Form_Raw_Data!C250)))</f>
        <v/>
      </c>
      <c r="D250" s="14" t="str">
        <f>IF(A250="","",UPPER(TRIM(Form_Raw_Data!D250)))</f>
        <v/>
      </c>
      <c r="E250" s="14" t="str">
        <f>IF(A250="","",TRIM(Form_Raw_Data!E250))</f>
        <v/>
      </c>
      <c r="F250" s="12" t="str">
        <f>IF(A250="","",IF(Form_Raw_Data!F250="","",Form_Raw_Data!F250&amp;""))</f>
        <v/>
      </c>
      <c r="G250" s="14" t="str">
        <f>IF(A250="","",IF(ISNUMBER(Form_Raw_Data!F250),IF(AND(Form_Raw_Data!F250&gt;=0,Form_Raw_Data!F250&lt;=24),Form_Raw_Data!F250,""),""))</f>
        <v/>
      </c>
      <c r="H250" s="14" t="str">
        <f>IF(A250="","",TRIM(Form_Raw_Data!G250))</f>
        <v/>
      </c>
      <c r="I250" s="15" t="str">
        <f t="shared" si="3"/>
        <v/>
      </c>
      <c r="J250" s="15" t="str">
        <f>IF(A250="","",IF(COUNTIF(Lists!$A$4:$A$53,C250)&gt;0,"YES","NO"))</f>
        <v/>
      </c>
      <c r="K250" s="15" t="str">
        <f>IF(A250="","",IF(COUNTIF(Lists!$I$4:$I$53,D250)&gt;0,"YES","NO"))</f>
        <v/>
      </c>
    </row>
    <row r="251" spans="1:11" x14ac:dyDescent="0.35">
      <c r="A251" s="12" t="str">
        <f>IF(Form_Raw_Data!A251="","",Form_Raw_Data!A251)</f>
        <v/>
      </c>
      <c r="B251" s="13" t="str">
        <f>IF(A251="","",Form_Raw_Data!B251)</f>
        <v/>
      </c>
      <c r="C251" s="14" t="str">
        <f>IF(A251="","",UPPER(TRIM(Form_Raw_Data!C251)))</f>
        <v/>
      </c>
      <c r="D251" s="14" t="str">
        <f>IF(A251="","",UPPER(TRIM(Form_Raw_Data!D251)))</f>
        <v/>
      </c>
      <c r="E251" s="14" t="str">
        <f>IF(A251="","",TRIM(Form_Raw_Data!E251))</f>
        <v/>
      </c>
      <c r="F251" s="12" t="str">
        <f>IF(A251="","",IF(Form_Raw_Data!F251="","",Form_Raw_Data!F251&amp;""))</f>
        <v/>
      </c>
      <c r="G251" s="14" t="str">
        <f>IF(A251="","",IF(ISNUMBER(Form_Raw_Data!F251),IF(AND(Form_Raw_Data!F251&gt;=0,Form_Raw_Data!F251&lt;=24),Form_Raw_Data!F251,""),""))</f>
        <v/>
      </c>
      <c r="H251" s="14" t="str">
        <f>IF(A251="","",TRIM(Form_Raw_Data!G251))</f>
        <v/>
      </c>
      <c r="I251" s="15" t="str">
        <f t="shared" si="3"/>
        <v/>
      </c>
      <c r="J251" s="15" t="str">
        <f>IF(A251="","",IF(COUNTIF(Lists!$A$4:$A$53,C251)&gt;0,"YES","NO"))</f>
        <v/>
      </c>
      <c r="K251" s="15" t="str">
        <f>IF(A251="","",IF(COUNTIF(Lists!$I$4:$I$53,D251)&gt;0,"YES","NO"))</f>
        <v/>
      </c>
    </row>
    <row r="252" spans="1:11" x14ac:dyDescent="0.35">
      <c r="A252" s="12" t="str">
        <f>IF(Form_Raw_Data!A252="","",Form_Raw_Data!A252)</f>
        <v/>
      </c>
      <c r="B252" s="13" t="str">
        <f>IF(A252="","",Form_Raw_Data!B252)</f>
        <v/>
      </c>
      <c r="C252" s="14" t="str">
        <f>IF(A252="","",UPPER(TRIM(Form_Raw_Data!C252)))</f>
        <v/>
      </c>
      <c r="D252" s="14" t="str">
        <f>IF(A252="","",UPPER(TRIM(Form_Raw_Data!D252)))</f>
        <v/>
      </c>
      <c r="E252" s="14" t="str">
        <f>IF(A252="","",TRIM(Form_Raw_Data!E252))</f>
        <v/>
      </c>
      <c r="F252" s="12" t="str">
        <f>IF(A252="","",IF(Form_Raw_Data!F252="","",Form_Raw_Data!F252&amp;""))</f>
        <v/>
      </c>
      <c r="G252" s="14" t="str">
        <f>IF(A252="","",IF(ISNUMBER(Form_Raw_Data!F252),IF(AND(Form_Raw_Data!F252&gt;=0,Form_Raw_Data!F252&lt;=24),Form_Raw_Data!F252,""),""))</f>
        <v/>
      </c>
      <c r="H252" s="14" t="str">
        <f>IF(A252="","",TRIM(Form_Raw_Data!G252))</f>
        <v/>
      </c>
      <c r="I252" s="15" t="str">
        <f t="shared" si="3"/>
        <v/>
      </c>
      <c r="J252" s="15" t="str">
        <f>IF(A252="","",IF(COUNTIF(Lists!$A$4:$A$53,C252)&gt;0,"YES","NO"))</f>
        <v/>
      </c>
      <c r="K252" s="15" t="str">
        <f>IF(A252="","",IF(COUNTIF(Lists!$I$4:$I$53,D252)&gt;0,"YES","NO"))</f>
        <v/>
      </c>
    </row>
    <row r="253" spans="1:11" x14ac:dyDescent="0.35">
      <c r="A253" s="12" t="str">
        <f>IF(Form_Raw_Data!A253="","",Form_Raw_Data!A253)</f>
        <v/>
      </c>
      <c r="B253" s="13" t="str">
        <f>IF(A253="","",Form_Raw_Data!B253)</f>
        <v/>
      </c>
      <c r="C253" s="14" t="str">
        <f>IF(A253="","",UPPER(TRIM(Form_Raw_Data!C253)))</f>
        <v/>
      </c>
      <c r="D253" s="14" t="str">
        <f>IF(A253="","",UPPER(TRIM(Form_Raw_Data!D253)))</f>
        <v/>
      </c>
      <c r="E253" s="14" t="str">
        <f>IF(A253="","",TRIM(Form_Raw_Data!E253))</f>
        <v/>
      </c>
      <c r="F253" s="12" t="str">
        <f>IF(A253="","",IF(Form_Raw_Data!F253="","",Form_Raw_Data!F253&amp;""))</f>
        <v/>
      </c>
      <c r="G253" s="14" t="str">
        <f>IF(A253="","",IF(ISNUMBER(Form_Raw_Data!F253),IF(AND(Form_Raw_Data!F253&gt;=0,Form_Raw_Data!F253&lt;=24),Form_Raw_Data!F253,""),""))</f>
        <v/>
      </c>
      <c r="H253" s="14" t="str">
        <f>IF(A253="","",TRIM(Form_Raw_Data!G253))</f>
        <v/>
      </c>
      <c r="I253" s="15" t="str">
        <f t="shared" si="3"/>
        <v/>
      </c>
      <c r="J253" s="15" t="str">
        <f>IF(A253="","",IF(COUNTIF(Lists!$A$4:$A$53,C253)&gt;0,"YES","NO"))</f>
        <v/>
      </c>
      <c r="K253" s="15" t="str">
        <f>IF(A253="","",IF(COUNTIF(Lists!$I$4:$I$53,D253)&gt;0,"YES","NO"))</f>
        <v/>
      </c>
    </row>
    <row r="254" spans="1:11" x14ac:dyDescent="0.35">
      <c r="A254" s="12" t="str">
        <f>IF(Form_Raw_Data!A254="","",Form_Raw_Data!A254)</f>
        <v/>
      </c>
      <c r="B254" s="13" t="str">
        <f>IF(A254="","",Form_Raw_Data!B254)</f>
        <v/>
      </c>
      <c r="C254" s="14" t="str">
        <f>IF(A254="","",UPPER(TRIM(Form_Raw_Data!C254)))</f>
        <v/>
      </c>
      <c r="D254" s="14" t="str">
        <f>IF(A254="","",UPPER(TRIM(Form_Raw_Data!D254)))</f>
        <v/>
      </c>
      <c r="E254" s="14" t="str">
        <f>IF(A254="","",TRIM(Form_Raw_Data!E254))</f>
        <v/>
      </c>
      <c r="F254" s="12" t="str">
        <f>IF(A254="","",IF(Form_Raw_Data!F254="","",Form_Raw_Data!F254&amp;""))</f>
        <v/>
      </c>
      <c r="G254" s="14" t="str">
        <f>IF(A254="","",IF(ISNUMBER(Form_Raw_Data!F254),IF(AND(Form_Raw_Data!F254&gt;=0,Form_Raw_Data!F254&lt;=24),Form_Raw_Data!F254,""),""))</f>
        <v/>
      </c>
      <c r="H254" s="14" t="str">
        <f>IF(A254="","",TRIM(Form_Raw_Data!G254))</f>
        <v/>
      </c>
      <c r="I254" s="15" t="str">
        <f t="shared" si="3"/>
        <v/>
      </c>
      <c r="J254" s="15" t="str">
        <f>IF(A254="","",IF(COUNTIF(Lists!$A$4:$A$53,C254)&gt;0,"YES","NO"))</f>
        <v/>
      </c>
      <c r="K254" s="15" t="str">
        <f>IF(A254="","",IF(COUNTIF(Lists!$I$4:$I$53,D254)&gt;0,"YES","NO"))</f>
        <v/>
      </c>
    </row>
    <row r="255" spans="1:11" x14ac:dyDescent="0.35">
      <c r="A255" s="12" t="str">
        <f>IF(Form_Raw_Data!A255="","",Form_Raw_Data!A255)</f>
        <v/>
      </c>
      <c r="B255" s="13" t="str">
        <f>IF(A255="","",Form_Raw_Data!B255)</f>
        <v/>
      </c>
      <c r="C255" s="14" t="str">
        <f>IF(A255="","",UPPER(TRIM(Form_Raw_Data!C255)))</f>
        <v/>
      </c>
      <c r="D255" s="14" t="str">
        <f>IF(A255="","",UPPER(TRIM(Form_Raw_Data!D255)))</f>
        <v/>
      </c>
      <c r="E255" s="14" t="str">
        <f>IF(A255="","",TRIM(Form_Raw_Data!E255))</f>
        <v/>
      </c>
      <c r="F255" s="12" t="str">
        <f>IF(A255="","",IF(Form_Raw_Data!F255="","",Form_Raw_Data!F255&amp;""))</f>
        <v/>
      </c>
      <c r="G255" s="14" t="str">
        <f>IF(A255="","",IF(ISNUMBER(Form_Raw_Data!F255),IF(AND(Form_Raw_Data!F255&gt;=0,Form_Raw_Data!F255&lt;=24),Form_Raw_Data!F255,""),""))</f>
        <v/>
      </c>
      <c r="H255" s="14" t="str">
        <f>IF(A255="","",TRIM(Form_Raw_Data!G255))</f>
        <v/>
      </c>
      <c r="I255" s="15" t="str">
        <f t="shared" si="3"/>
        <v/>
      </c>
      <c r="J255" s="15" t="str">
        <f>IF(A255="","",IF(COUNTIF(Lists!$A$4:$A$53,C255)&gt;0,"YES","NO"))</f>
        <v/>
      </c>
      <c r="K255" s="15" t="str">
        <f>IF(A255="","",IF(COUNTIF(Lists!$I$4:$I$53,D255)&gt;0,"YES","NO"))</f>
        <v/>
      </c>
    </row>
    <row r="256" spans="1:11" x14ac:dyDescent="0.35">
      <c r="A256" s="12" t="str">
        <f>IF(Form_Raw_Data!A256="","",Form_Raw_Data!A256)</f>
        <v/>
      </c>
      <c r="B256" s="13" t="str">
        <f>IF(A256="","",Form_Raw_Data!B256)</f>
        <v/>
      </c>
      <c r="C256" s="14" t="str">
        <f>IF(A256="","",UPPER(TRIM(Form_Raw_Data!C256)))</f>
        <v/>
      </c>
      <c r="D256" s="14" t="str">
        <f>IF(A256="","",UPPER(TRIM(Form_Raw_Data!D256)))</f>
        <v/>
      </c>
      <c r="E256" s="14" t="str">
        <f>IF(A256="","",TRIM(Form_Raw_Data!E256))</f>
        <v/>
      </c>
      <c r="F256" s="12" t="str">
        <f>IF(A256="","",IF(Form_Raw_Data!F256="","",Form_Raw_Data!F256&amp;""))</f>
        <v/>
      </c>
      <c r="G256" s="14" t="str">
        <f>IF(A256="","",IF(ISNUMBER(Form_Raw_Data!F256),IF(AND(Form_Raw_Data!F256&gt;=0,Form_Raw_Data!F256&lt;=24),Form_Raw_Data!F256,""),""))</f>
        <v/>
      </c>
      <c r="H256" s="14" t="str">
        <f>IF(A256="","",TRIM(Form_Raw_Data!G256))</f>
        <v/>
      </c>
      <c r="I256" s="15" t="str">
        <f t="shared" si="3"/>
        <v/>
      </c>
      <c r="J256" s="15" t="str">
        <f>IF(A256="","",IF(COUNTIF(Lists!$A$4:$A$53,C256)&gt;0,"YES","NO"))</f>
        <v/>
      </c>
      <c r="K256" s="15" t="str">
        <f>IF(A256="","",IF(COUNTIF(Lists!$I$4:$I$53,D256)&gt;0,"YES","NO"))</f>
        <v/>
      </c>
    </row>
    <row r="257" spans="1:11" x14ac:dyDescent="0.35">
      <c r="A257" s="12" t="str">
        <f>IF(Form_Raw_Data!A257="","",Form_Raw_Data!A257)</f>
        <v/>
      </c>
      <c r="B257" s="13" t="str">
        <f>IF(A257="","",Form_Raw_Data!B257)</f>
        <v/>
      </c>
      <c r="C257" s="14" t="str">
        <f>IF(A257="","",UPPER(TRIM(Form_Raw_Data!C257)))</f>
        <v/>
      </c>
      <c r="D257" s="14" t="str">
        <f>IF(A257="","",UPPER(TRIM(Form_Raw_Data!D257)))</f>
        <v/>
      </c>
      <c r="E257" s="14" t="str">
        <f>IF(A257="","",TRIM(Form_Raw_Data!E257))</f>
        <v/>
      </c>
      <c r="F257" s="12" t="str">
        <f>IF(A257="","",IF(Form_Raw_Data!F257="","",Form_Raw_Data!F257&amp;""))</f>
        <v/>
      </c>
      <c r="G257" s="14" t="str">
        <f>IF(A257="","",IF(ISNUMBER(Form_Raw_Data!F257),IF(AND(Form_Raw_Data!F257&gt;=0,Form_Raw_Data!F257&lt;=24),Form_Raw_Data!F257,""),""))</f>
        <v/>
      </c>
      <c r="H257" s="14" t="str">
        <f>IF(A257="","",TRIM(Form_Raw_Data!G257))</f>
        <v/>
      </c>
      <c r="I257" s="15" t="str">
        <f t="shared" si="3"/>
        <v/>
      </c>
      <c r="J257" s="15" t="str">
        <f>IF(A257="","",IF(COUNTIF(Lists!$A$4:$A$53,C257)&gt;0,"YES","NO"))</f>
        <v/>
      </c>
      <c r="K257" s="15" t="str">
        <f>IF(A257="","",IF(COUNTIF(Lists!$I$4:$I$53,D257)&gt;0,"YES","NO"))</f>
        <v/>
      </c>
    </row>
    <row r="258" spans="1:11" x14ac:dyDescent="0.35">
      <c r="A258" s="12" t="str">
        <f>IF(Form_Raw_Data!A258="","",Form_Raw_Data!A258)</f>
        <v/>
      </c>
      <c r="B258" s="13" t="str">
        <f>IF(A258="","",Form_Raw_Data!B258)</f>
        <v/>
      </c>
      <c r="C258" s="14" t="str">
        <f>IF(A258="","",UPPER(TRIM(Form_Raw_Data!C258)))</f>
        <v/>
      </c>
      <c r="D258" s="14" t="str">
        <f>IF(A258="","",UPPER(TRIM(Form_Raw_Data!D258)))</f>
        <v/>
      </c>
      <c r="E258" s="14" t="str">
        <f>IF(A258="","",TRIM(Form_Raw_Data!E258))</f>
        <v/>
      </c>
      <c r="F258" s="12" t="str">
        <f>IF(A258="","",IF(Form_Raw_Data!F258="","",Form_Raw_Data!F258&amp;""))</f>
        <v/>
      </c>
      <c r="G258" s="14" t="str">
        <f>IF(A258="","",IF(ISNUMBER(Form_Raw_Data!F258),IF(AND(Form_Raw_Data!F258&gt;=0,Form_Raw_Data!F258&lt;=24),Form_Raw_Data!F258,""),""))</f>
        <v/>
      </c>
      <c r="H258" s="14" t="str">
        <f>IF(A258="","",TRIM(Form_Raw_Data!G258))</f>
        <v/>
      </c>
      <c r="I258" s="15" t="str">
        <f t="shared" si="3"/>
        <v/>
      </c>
      <c r="J258" s="15" t="str">
        <f>IF(A258="","",IF(COUNTIF(Lists!$A$4:$A$53,C258)&gt;0,"YES","NO"))</f>
        <v/>
      </c>
      <c r="K258" s="15" t="str">
        <f>IF(A258="","",IF(COUNTIF(Lists!$I$4:$I$53,D258)&gt;0,"YES","NO"))</f>
        <v/>
      </c>
    </row>
    <row r="259" spans="1:11" x14ac:dyDescent="0.35">
      <c r="A259" s="12" t="str">
        <f>IF(Form_Raw_Data!A259="","",Form_Raw_Data!A259)</f>
        <v/>
      </c>
      <c r="B259" s="13" t="str">
        <f>IF(A259="","",Form_Raw_Data!B259)</f>
        <v/>
      </c>
      <c r="C259" s="14" t="str">
        <f>IF(A259="","",UPPER(TRIM(Form_Raw_Data!C259)))</f>
        <v/>
      </c>
      <c r="D259" s="14" t="str">
        <f>IF(A259="","",UPPER(TRIM(Form_Raw_Data!D259)))</f>
        <v/>
      </c>
      <c r="E259" s="14" t="str">
        <f>IF(A259="","",TRIM(Form_Raw_Data!E259))</f>
        <v/>
      </c>
      <c r="F259" s="12" t="str">
        <f>IF(A259="","",IF(Form_Raw_Data!F259="","",Form_Raw_Data!F259&amp;""))</f>
        <v/>
      </c>
      <c r="G259" s="14" t="str">
        <f>IF(A259="","",IF(ISNUMBER(Form_Raw_Data!F259),IF(AND(Form_Raw_Data!F259&gt;=0,Form_Raw_Data!F259&lt;=24),Form_Raw_Data!F259,""),""))</f>
        <v/>
      </c>
      <c r="H259" s="14" t="str">
        <f>IF(A259="","",TRIM(Form_Raw_Data!G259))</f>
        <v/>
      </c>
      <c r="I259" s="15" t="str">
        <f t="shared" si="3"/>
        <v/>
      </c>
      <c r="J259" s="15" t="str">
        <f>IF(A259="","",IF(COUNTIF(Lists!$A$4:$A$53,C259)&gt;0,"YES","NO"))</f>
        <v/>
      </c>
      <c r="K259" s="15" t="str">
        <f>IF(A259="","",IF(COUNTIF(Lists!$I$4:$I$53,D259)&gt;0,"YES","NO"))</f>
        <v/>
      </c>
    </row>
    <row r="260" spans="1:11" x14ac:dyDescent="0.35">
      <c r="A260" s="12" t="str">
        <f>IF(Form_Raw_Data!A260="","",Form_Raw_Data!A260)</f>
        <v/>
      </c>
      <c r="B260" s="13" t="str">
        <f>IF(A260="","",Form_Raw_Data!B260)</f>
        <v/>
      </c>
      <c r="C260" s="14" t="str">
        <f>IF(A260="","",UPPER(TRIM(Form_Raw_Data!C260)))</f>
        <v/>
      </c>
      <c r="D260" s="14" t="str">
        <f>IF(A260="","",UPPER(TRIM(Form_Raw_Data!D260)))</f>
        <v/>
      </c>
      <c r="E260" s="14" t="str">
        <f>IF(A260="","",TRIM(Form_Raw_Data!E260))</f>
        <v/>
      </c>
      <c r="F260" s="12" t="str">
        <f>IF(A260="","",IF(Form_Raw_Data!F260="","",Form_Raw_Data!F260&amp;""))</f>
        <v/>
      </c>
      <c r="G260" s="14" t="str">
        <f>IF(A260="","",IF(ISNUMBER(Form_Raw_Data!F260),IF(AND(Form_Raw_Data!F260&gt;=0,Form_Raw_Data!F260&lt;=24),Form_Raw_Data!F260,""),""))</f>
        <v/>
      </c>
      <c r="H260" s="14" t="str">
        <f>IF(A260="","",TRIM(Form_Raw_Data!G260))</f>
        <v/>
      </c>
      <c r="I260" s="15" t="str">
        <f t="shared" ref="I260:I323" si="4">IF(A260="","",IF(OR(C260="",D260="",E260="",H260="",G260=""),"ERROR","OK"))</f>
        <v/>
      </c>
      <c r="J260" s="15" t="str">
        <f>IF(A260="","",IF(COUNTIF(Lists!$A$4:$A$53,C260)&gt;0,"YES","NO"))</f>
        <v/>
      </c>
      <c r="K260" s="15" t="str">
        <f>IF(A260="","",IF(COUNTIF(Lists!$I$4:$I$53,D260)&gt;0,"YES","NO"))</f>
        <v/>
      </c>
    </row>
    <row r="261" spans="1:11" x14ac:dyDescent="0.35">
      <c r="A261" s="12" t="str">
        <f>IF(Form_Raw_Data!A261="","",Form_Raw_Data!A261)</f>
        <v/>
      </c>
      <c r="B261" s="13" t="str">
        <f>IF(A261="","",Form_Raw_Data!B261)</f>
        <v/>
      </c>
      <c r="C261" s="14" t="str">
        <f>IF(A261="","",UPPER(TRIM(Form_Raw_Data!C261)))</f>
        <v/>
      </c>
      <c r="D261" s="14" t="str">
        <f>IF(A261="","",UPPER(TRIM(Form_Raw_Data!D261)))</f>
        <v/>
      </c>
      <c r="E261" s="14" t="str">
        <f>IF(A261="","",TRIM(Form_Raw_Data!E261))</f>
        <v/>
      </c>
      <c r="F261" s="12" t="str">
        <f>IF(A261="","",IF(Form_Raw_Data!F261="","",Form_Raw_Data!F261&amp;""))</f>
        <v/>
      </c>
      <c r="G261" s="14" t="str">
        <f>IF(A261="","",IF(ISNUMBER(Form_Raw_Data!F261),IF(AND(Form_Raw_Data!F261&gt;=0,Form_Raw_Data!F261&lt;=24),Form_Raw_Data!F261,""),""))</f>
        <v/>
      </c>
      <c r="H261" s="14" t="str">
        <f>IF(A261="","",TRIM(Form_Raw_Data!G261))</f>
        <v/>
      </c>
      <c r="I261" s="15" t="str">
        <f t="shared" si="4"/>
        <v/>
      </c>
      <c r="J261" s="15" t="str">
        <f>IF(A261="","",IF(COUNTIF(Lists!$A$4:$A$53,C261)&gt;0,"YES","NO"))</f>
        <v/>
      </c>
      <c r="K261" s="15" t="str">
        <f>IF(A261="","",IF(COUNTIF(Lists!$I$4:$I$53,D261)&gt;0,"YES","NO"))</f>
        <v/>
      </c>
    </row>
    <row r="262" spans="1:11" x14ac:dyDescent="0.35">
      <c r="A262" s="12" t="str">
        <f>IF(Form_Raw_Data!A262="","",Form_Raw_Data!A262)</f>
        <v/>
      </c>
      <c r="B262" s="13" t="str">
        <f>IF(A262="","",Form_Raw_Data!B262)</f>
        <v/>
      </c>
      <c r="C262" s="14" t="str">
        <f>IF(A262="","",UPPER(TRIM(Form_Raw_Data!C262)))</f>
        <v/>
      </c>
      <c r="D262" s="14" t="str">
        <f>IF(A262="","",UPPER(TRIM(Form_Raw_Data!D262)))</f>
        <v/>
      </c>
      <c r="E262" s="14" t="str">
        <f>IF(A262="","",TRIM(Form_Raw_Data!E262))</f>
        <v/>
      </c>
      <c r="F262" s="12" t="str">
        <f>IF(A262="","",IF(Form_Raw_Data!F262="","",Form_Raw_Data!F262&amp;""))</f>
        <v/>
      </c>
      <c r="G262" s="14" t="str">
        <f>IF(A262="","",IF(ISNUMBER(Form_Raw_Data!F262),IF(AND(Form_Raw_Data!F262&gt;=0,Form_Raw_Data!F262&lt;=24),Form_Raw_Data!F262,""),""))</f>
        <v/>
      </c>
      <c r="H262" s="14" t="str">
        <f>IF(A262="","",TRIM(Form_Raw_Data!G262))</f>
        <v/>
      </c>
      <c r="I262" s="15" t="str">
        <f t="shared" si="4"/>
        <v/>
      </c>
      <c r="J262" s="15" t="str">
        <f>IF(A262="","",IF(COUNTIF(Lists!$A$4:$A$53,C262)&gt;0,"YES","NO"))</f>
        <v/>
      </c>
      <c r="K262" s="15" t="str">
        <f>IF(A262="","",IF(COUNTIF(Lists!$I$4:$I$53,D262)&gt;0,"YES","NO"))</f>
        <v/>
      </c>
    </row>
    <row r="263" spans="1:11" x14ac:dyDescent="0.35">
      <c r="A263" s="12" t="str">
        <f>IF(Form_Raw_Data!A263="","",Form_Raw_Data!A263)</f>
        <v/>
      </c>
      <c r="B263" s="13" t="str">
        <f>IF(A263="","",Form_Raw_Data!B263)</f>
        <v/>
      </c>
      <c r="C263" s="14" t="str">
        <f>IF(A263="","",UPPER(TRIM(Form_Raw_Data!C263)))</f>
        <v/>
      </c>
      <c r="D263" s="14" t="str">
        <f>IF(A263="","",UPPER(TRIM(Form_Raw_Data!D263)))</f>
        <v/>
      </c>
      <c r="E263" s="14" t="str">
        <f>IF(A263="","",TRIM(Form_Raw_Data!E263))</f>
        <v/>
      </c>
      <c r="F263" s="12" t="str">
        <f>IF(A263="","",IF(Form_Raw_Data!F263="","",Form_Raw_Data!F263&amp;""))</f>
        <v/>
      </c>
      <c r="G263" s="14" t="str">
        <f>IF(A263="","",IF(ISNUMBER(Form_Raw_Data!F263),IF(AND(Form_Raw_Data!F263&gt;=0,Form_Raw_Data!F263&lt;=24),Form_Raw_Data!F263,""),""))</f>
        <v/>
      </c>
      <c r="H263" s="14" t="str">
        <f>IF(A263="","",TRIM(Form_Raw_Data!G263))</f>
        <v/>
      </c>
      <c r="I263" s="15" t="str">
        <f t="shared" si="4"/>
        <v/>
      </c>
      <c r="J263" s="15" t="str">
        <f>IF(A263="","",IF(COUNTIF(Lists!$A$4:$A$53,C263)&gt;0,"YES","NO"))</f>
        <v/>
      </c>
      <c r="K263" s="15" t="str">
        <f>IF(A263="","",IF(COUNTIF(Lists!$I$4:$I$53,D263)&gt;0,"YES","NO"))</f>
        <v/>
      </c>
    </row>
    <row r="264" spans="1:11" x14ac:dyDescent="0.35">
      <c r="A264" s="12" t="str">
        <f>IF(Form_Raw_Data!A264="","",Form_Raw_Data!A264)</f>
        <v/>
      </c>
      <c r="B264" s="13" t="str">
        <f>IF(A264="","",Form_Raw_Data!B264)</f>
        <v/>
      </c>
      <c r="C264" s="14" t="str">
        <f>IF(A264="","",UPPER(TRIM(Form_Raw_Data!C264)))</f>
        <v/>
      </c>
      <c r="D264" s="14" t="str">
        <f>IF(A264="","",UPPER(TRIM(Form_Raw_Data!D264)))</f>
        <v/>
      </c>
      <c r="E264" s="14" t="str">
        <f>IF(A264="","",TRIM(Form_Raw_Data!E264))</f>
        <v/>
      </c>
      <c r="F264" s="12" t="str">
        <f>IF(A264="","",IF(Form_Raw_Data!F264="","",Form_Raw_Data!F264&amp;""))</f>
        <v/>
      </c>
      <c r="G264" s="14" t="str">
        <f>IF(A264="","",IF(ISNUMBER(Form_Raw_Data!F264),IF(AND(Form_Raw_Data!F264&gt;=0,Form_Raw_Data!F264&lt;=24),Form_Raw_Data!F264,""),""))</f>
        <v/>
      </c>
      <c r="H264" s="14" t="str">
        <f>IF(A264="","",TRIM(Form_Raw_Data!G264))</f>
        <v/>
      </c>
      <c r="I264" s="15" t="str">
        <f t="shared" si="4"/>
        <v/>
      </c>
      <c r="J264" s="15" t="str">
        <f>IF(A264="","",IF(COUNTIF(Lists!$A$4:$A$53,C264)&gt;0,"YES","NO"))</f>
        <v/>
      </c>
      <c r="K264" s="15" t="str">
        <f>IF(A264="","",IF(COUNTIF(Lists!$I$4:$I$53,D264)&gt;0,"YES","NO"))</f>
        <v/>
      </c>
    </row>
    <row r="265" spans="1:11" x14ac:dyDescent="0.35">
      <c r="A265" s="12" t="str">
        <f>IF(Form_Raw_Data!A265="","",Form_Raw_Data!A265)</f>
        <v/>
      </c>
      <c r="B265" s="13" t="str">
        <f>IF(A265="","",Form_Raw_Data!B265)</f>
        <v/>
      </c>
      <c r="C265" s="14" t="str">
        <f>IF(A265="","",UPPER(TRIM(Form_Raw_Data!C265)))</f>
        <v/>
      </c>
      <c r="D265" s="14" t="str">
        <f>IF(A265="","",UPPER(TRIM(Form_Raw_Data!D265)))</f>
        <v/>
      </c>
      <c r="E265" s="14" t="str">
        <f>IF(A265="","",TRIM(Form_Raw_Data!E265))</f>
        <v/>
      </c>
      <c r="F265" s="12" t="str">
        <f>IF(A265="","",IF(Form_Raw_Data!F265="","",Form_Raw_Data!F265&amp;""))</f>
        <v/>
      </c>
      <c r="G265" s="14" t="str">
        <f>IF(A265="","",IF(ISNUMBER(Form_Raw_Data!F265),IF(AND(Form_Raw_Data!F265&gt;=0,Form_Raw_Data!F265&lt;=24),Form_Raw_Data!F265,""),""))</f>
        <v/>
      </c>
      <c r="H265" s="14" t="str">
        <f>IF(A265="","",TRIM(Form_Raw_Data!G265))</f>
        <v/>
      </c>
      <c r="I265" s="15" t="str">
        <f t="shared" si="4"/>
        <v/>
      </c>
      <c r="J265" s="15" t="str">
        <f>IF(A265="","",IF(COUNTIF(Lists!$A$4:$A$53,C265)&gt;0,"YES","NO"))</f>
        <v/>
      </c>
      <c r="K265" s="15" t="str">
        <f>IF(A265="","",IF(COUNTIF(Lists!$I$4:$I$53,D265)&gt;0,"YES","NO"))</f>
        <v/>
      </c>
    </row>
    <row r="266" spans="1:11" x14ac:dyDescent="0.35">
      <c r="A266" s="12" t="str">
        <f>IF(Form_Raw_Data!A266="","",Form_Raw_Data!A266)</f>
        <v/>
      </c>
      <c r="B266" s="13" t="str">
        <f>IF(A266="","",Form_Raw_Data!B266)</f>
        <v/>
      </c>
      <c r="C266" s="14" t="str">
        <f>IF(A266="","",UPPER(TRIM(Form_Raw_Data!C266)))</f>
        <v/>
      </c>
      <c r="D266" s="14" t="str">
        <f>IF(A266="","",UPPER(TRIM(Form_Raw_Data!D266)))</f>
        <v/>
      </c>
      <c r="E266" s="14" t="str">
        <f>IF(A266="","",TRIM(Form_Raw_Data!E266))</f>
        <v/>
      </c>
      <c r="F266" s="12" t="str">
        <f>IF(A266="","",IF(Form_Raw_Data!F266="","",Form_Raw_Data!F266&amp;""))</f>
        <v/>
      </c>
      <c r="G266" s="14" t="str">
        <f>IF(A266="","",IF(ISNUMBER(Form_Raw_Data!F266),IF(AND(Form_Raw_Data!F266&gt;=0,Form_Raw_Data!F266&lt;=24),Form_Raw_Data!F266,""),""))</f>
        <v/>
      </c>
      <c r="H266" s="14" t="str">
        <f>IF(A266="","",TRIM(Form_Raw_Data!G266))</f>
        <v/>
      </c>
      <c r="I266" s="15" t="str">
        <f t="shared" si="4"/>
        <v/>
      </c>
      <c r="J266" s="15" t="str">
        <f>IF(A266="","",IF(COUNTIF(Lists!$A$4:$A$53,C266)&gt;0,"YES","NO"))</f>
        <v/>
      </c>
      <c r="K266" s="15" t="str">
        <f>IF(A266="","",IF(COUNTIF(Lists!$I$4:$I$53,D266)&gt;0,"YES","NO"))</f>
        <v/>
      </c>
    </row>
    <row r="267" spans="1:11" x14ac:dyDescent="0.35">
      <c r="A267" s="12" t="str">
        <f>IF(Form_Raw_Data!A267="","",Form_Raw_Data!A267)</f>
        <v/>
      </c>
      <c r="B267" s="13" t="str">
        <f>IF(A267="","",Form_Raw_Data!B267)</f>
        <v/>
      </c>
      <c r="C267" s="14" t="str">
        <f>IF(A267="","",UPPER(TRIM(Form_Raw_Data!C267)))</f>
        <v/>
      </c>
      <c r="D267" s="14" t="str">
        <f>IF(A267="","",UPPER(TRIM(Form_Raw_Data!D267)))</f>
        <v/>
      </c>
      <c r="E267" s="14" t="str">
        <f>IF(A267="","",TRIM(Form_Raw_Data!E267))</f>
        <v/>
      </c>
      <c r="F267" s="12" t="str">
        <f>IF(A267="","",IF(Form_Raw_Data!F267="","",Form_Raw_Data!F267&amp;""))</f>
        <v/>
      </c>
      <c r="G267" s="14" t="str">
        <f>IF(A267="","",IF(ISNUMBER(Form_Raw_Data!F267),IF(AND(Form_Raw_Data!F267&gt;=0,Form_Raw_Data!F267&lt;=24),Form_Raw_Data!F267,""),""))</f>
        <v/>
      </c>
      <c r="H267" s="14" t="str">
        <f>IF(A267="","",TRIM(Form_Raw_Data!G267))</f>
        <v/>
      </c>
      <c r="I267" s="15" t="str">
        <f t="shared" si="4"/>
        <v/>
      </c>
      <c r="J267" s="15" t="str">
        <f>IF(A267="","",IF(COUNTIF(Lists!$A$4:$A$53,C267)&gt;0,"YES","NO"))</f>
        <v/>
      </c>
      <c r="K267" s="15" t="str">
        <f>IF(A267="","",IF(COUNTIF(Lists!$I$4:$I$53,D267)&gt;0,"YES","NO"))</f>
        <v/>
      </c>
    </row>
    <row r="268" spans="1:11" x14ac:dyDescent="0.35">
      <c r="A268" s="12" t="str">
        <f>IF(Form_Raw_Data!A268="","",Form_Raw_Data!A268)</f>
        <v/>
      </c>
      <c r="B268" s="13" t="str">
        <f>IF(A268="","",Form_Raw_Data!B268)</f>
        <v/>
      </c>
      <c r="C268" s="14" t="str">
        <f>IF(A268="","",UPPER(TRIM(Form_Raw_Data!C268)))</f>
        <v/>
      </c>
      <c r="D268" s="14" t="str">
        <f>IF(A268="","",UPPER(TRIM(Form_Raw_Data!D268)))</f>
        <v/>
      </c>
      <c r="E268" s="14" t="str">
        <f>IF(A268="","",TRIM(Form_Raw_Data!E268))</f>
        <v/>
      </c>
      <c r="F268" s="12" t="str">
        <f>IF(A268="","",IF(Form_Raw_Data!F268="","",Form_Raw_Data!F268&amp;""))</f>
        <v/>
      </c>
      <c r="G268" s="14" t="str">
        <f>IF(A268="","",IF(ISNUMBER(Form_Raw_Data!F268),IF(AND(Form_Raw_Data!F268&gt;=0,Form_Raw_Data!F268&lt;=24),Form_Raw_Data!F268,""),""))</f>
        <v/>
      </c>
      <c r="H268" s="14" t="str">
        <f>IF(A268="","",TRIM(Form_Raw_Data!G268))</f>
        <v/>
      </c>
      <c r="I268" s="15" t="str">
        <f t="shared" si="4"/>
        <v/>
      </c>
      <c r="J268" s="15" t="str">
        <f>IF(A268="","",IF(COUNTIF(Lists!$A$4:$A$53,C268)&gt;0,"YES","NO"))</f>
        <v/>
      </c>
      <c r="K268" s="15" t="str">
        <f>IF(A268="","",IF(COUNTIF(Lists!$I$4:$I$53,D268)&gt;0,"YES","NO"))</f>
        <v/>
      </c>
    </row>
    <row r="269" spans="1:11" x14ac:dyDescent="0.35">
      <c r="A269" s="12" t="str">
        <f>IF(Form_Raw_Data!A269="","",Form_Raw_Data!A269)</f>
        <v/>
      </c>
      <c r="B269" s="13" t="str">
        <f>IF(A269="","",Form_Raw_Data!B269)</f>
        <v/>
      </c>
      <c r="C269" s="14" t="str">
        <f>IF(A269="","",UPPER(TRIM(Form_Raw_Data!C269)))</f>
        <v/>
      </c>
      <c r="D269" s="14" t="str">
        <f>IF(A269="","",UPPER(TRIM(Form_Raw_Data!D269)))</f>
        <v/>
      </c>
      <c r="E269" s="14" t="str">
        <f>IF(A269="","",TRIM(Form_Raw_Data!E269))</f>
        <v/>
      </c>
      <c r="F269" s="12" t="str">
        <f>IF(A269="","",IF(Form_Raw_Data!F269="","",Form_Raw_Data!F269&amp;""))</f>
        <v/>
      </c>
      <c r="G269" s="14" t="str">
        <f>IF(A269="","",IF(ISNUMBER(Form_Raw_Data!F269),IF(AND(Form_Raw_Data!F269&gt;=0,Form_Raw_Data!F269&lt;=24),Form_Raw_Data!F269,""),""))</f>
        <v/>
      </c>
      <c r="H269" s="14" t="str">
        <f>IF(A269="","",TRIM(Form_Raw_Data!G269))</f>
        <v/>
      </c>
      <c r="I269" s="15" t="str">
        <f t="shared" si="4"/>
        <v/>
      </c>
      <c r="J269" s="15" t="str">
        <f>IF(A269="","",IF(COUNTIF(Lists!$A$4:$A$53,C269)&gt;0,"YES","NO"))</f>
        <v/>
      </c>
      <c r="K269" s="15" t="str">
        <f>IF(A269="","",IF(COUNTIF(Lists!$I$4:$I$53,D269)&gt;0,"YES","NO"))</f>
        <v/>
      </c>
    </row>
    <row r="270" spans="1:11" x14ac:dyDescent="0.35">
      <c r="A270" s="12" t="str">
        <f>IF(Form_Raw_Data!A270="","",Form_Raw_Data!A270)</f>
        <v/>
      </c>
      <c r="B270" s="13" t="str">
        <f>IF(A270="","",Form_Raw_Data!B270)</f>
        <v/>
      </c>
      <c r="C270" s="14" t="str">
        <f>IF(A270="","",UPPER(TRIM(Form_Raw_Data!C270)))</f>
        <v/>
      </c>
      <c r="D270" s="14" t="str">
        <f>IF(A270="","",UPPER(TRIM(Form_Raw_Data!D270)))</f>
        <v/>
      </c>
      <c r="E270" s="14" t="str">
        <f>IF(A270="","",TRIM(Form_Raw_Data!E270))</f>
        <v/>
      </c>
      <c r="F270" s="12" t="str">
        <f>IF(A270="","",IF(Form_Raw_Data!F270="","",Form_Raw_Data!F270&amp;""))</f>
        <v/>
      </c>
      <c r="G270" s="14" t="str">
        <f>IF(A270="","",IF(ISNUMBER(Form_Raw_Data!F270),IF(AND(Form_Raw_Data!F270&gt;=0,Form_Raw_Data!F270&lt;=24),Form_Raw_Data!F270,""),""))</f>
        <v/>
      </c>
      <c r="H270" s="14" t="str">
        <f>IF(A270="","",TRIM(Form_Raw_Data!G270))</f>
        <v/>
      </c>
      <c r="I270" s="15" t="str">
        <f t="shared" si="4"/>
        <v/>
      </c>
      <c r="J270" s="15" t="str">
        <f>IF(A270="","",IF(COUNTIF(Lists!$A$4:$A$53,C270)&gt;0,"YES","NO"))</f>
        <v/>
      </c>
      <c r="K270" s="15" t="str">
        <f>IF(A270="","",IF(COUNTIF(Lists!$I$4:$I$53,D270)&gt;0,"YES","NO"))</f>
        <v/>
      </c>
    </row>
    <row r="271" spans="1:11" x14ac:dyDescent="0.35">
      <c r="A271" s="12" t="str">
        <f>IF(Form_Raw_Data!A271="","",Form_Raw_Data!A271)</f>
        <v/>
      </c>
      <c r="B271" s="13" t="str">
        <f>IF(A271="","",Form_Raw_Data!B271)</f>
        <v/>
      </c>
      <c r="C271" s="14" t="str">
        <f>IF(A271="","",UPPER(TRIM(Form_Raw_Data!C271)))</f>
        <v/>
      </c>
      <c r="D271" s="14" t="str">
        <f>IF(A271="","",UPPER(TRIM(Form_Raw_Data!D271)))</f>
        <v/>
      </c>
      <c r="E271" s="14" t="str">
        <f>IF(A271="","",TRIM(Form_Raw_Data!E271))</f>
        <v/>
      </c>
      <c r="F271" s="12" t="str">
        <f>IF(A271="","",IF(Form_Raw_Data!F271="","",Form_Raw_Data!F271&amp;""))</f>
        <v/>
      </c>
      <c r="G271" s="14" t="str">
        <f>IF(A271="","",IF(ISNUMBER(Form_Raw_Data!F271),IF(AND(Form_Raw_Data!F271&gt;=0,Form_Raw_Data!F271&lt;=24),Form_Raw_Data!F271,""),""))</f>
        <v/>
      </c>
      <c r="H271" s="14" t="str">
        <f>IF(A271="","",TRIM(Form_Raw_Data!G271))</f>
        <v/>
      </c>
      <c r="I271" s="15" t="str">
        <f t="shared" si="4"/>
        <v/>
      </c>
      <c r="J271" s="15" t="str">
        <f>IF(A271="","",IF(COUNTIF(Lists!$A$4:$A$53,C271)&gt;0,"YES","NO"))</f>
        <v/>
      </c>
      <c r="K271" s="15" t="str">
        <f>IF(A271="","",IF(COUNTIF(Lists!$I$4:$I$53,D271)&gt;0,"YES","NO"))</f>
        <v/>
      </c>
    </row>
    <row r="272" spans="1:11" x14ac:dyDescent="0.35">
      <c r="A272" s="12" t="str">
        <f>IF(Form_Raw_Data!A272="","",Form_Raw_Data!A272)</f>
        <v/>
      </c>
      <c r="B272" s="13" t="str">
        <f>IF(A272="","",Form_Raw_Data!B272)</f>
        <v/>
      </c>
      <c r="C272" s="14" t="str">
        <f>IF(A272="","",UPPER(TRIM(Form_Raw_Data!C272)))</f>
        <v/>
      </c>
      <c r="D272" s="14" t="str">
        <f>IF(A272="","",UPPER(TRIM(Form_Raw_Data!D272)))</f>
        <v/>
      </c>
      <c r="E272" s="14" t="str">
        <f>IF(A272="","",TRIM(Form_Raw_Data!E272))</f>
        <v/>
      </c>
      <c r="F272" s="12" t="str">
        <f>IF(A272="","",IF(Form_Raw_Data!F272="","",Form_Raw_Data!F272&amp;""))</f>
        <v/>
      </c>
      <c r="G272" s="14" t="str">
        <f>IF(A272="","",IF(ISNUMBER(Form_Raw_Data!F272),IF(AND(Form_Raw_Data!F272&gt;=0,Form_Raw_Data!F272&lt;=24),Form_Raw_Data!F272,""),""))</f>
        <v/>
      </c>
      <c r="H272" s="14" t="str">
        <f>IF(A272="","",TRIM(Form_Raw_Data!G272))</f>
        <v/>
      </c>
      <c r="I272" s="15" t="str">
        <f t="shared" si="4"/>
        <v/>
      </c>
      <c r="J272" s="15" t="str">
        <f>IF(A272="","",IF(COUNTIF(Lists!$A$4:$A$53,C272)&gt;0,"YES","NO"))</f>
        <v/>
      </c>
      <c r="K272" s="15" t="str">
        <f>IF(A272="","",IF(COUNTIF(Lists!$I$4:$I$53,D272)&gt;0,"YES","NO"))</f>
        <v/>
      </c>
    </row>
    <row r="273" spans="1:11" x14ac:dyDescent="0.35">
      <c r="A273" s="12" t="str">
        <f>IF(Form_Raw_Data!A273="","",Form_Raw_Data!A273)</f>
        <v/>
      </c>
      <c r="B273" s="13" t="str">
        <f>IF(A273="","",Form_Raw_Data!B273)</f>
        <v/>
      </c>
      <c r="C273" s="14" t="str">
        <f>IF(A273="","",UPPER(TRIM(Form_Raw_Data!C273)))</f>
        <v/>
      </c>
      <c r="D273" s="14" t="str">
        <f>IF(A273="","",UPPER(TRIM(Form_Raw_Data!D273)))</f>
        <v/>
      </c>
      <c r="E273" s="14" t="str">
        <f>IF(A273="","",TRIM(Form_Raw_Data!E273))</f>
        <v/>
      </c>
      <c r="F273" s="12" t="str">
        <f>IF(A273="","",IF(Form_Raw_Data!F273="","",Form_Raw_Data!F273&amp;""))</f>
        <v/>
      </c>
      <c r="G273" s="14" t="str">
        <f>IF(A273="","",IF(ISNUMBER(Form_Raw_Data!F273),IF(AND(Form_Raw_Data!F273&gt;=0,Form_Raw_Data!F273&lt;=24),Form_Raw_Data!F273,""),""))</f>
        <v/>
      </c>
      <c r="H273" s="14" t="str">
        <f>IF(A273="","",TRIM(Form_Raw_Data!G273))</f>
        <v/>
      </c>
      <c r="I273" s="15" t="str">
        <f t="shared" si="4"/>
        <v/>
      </c>
      <c r="J273" s="15" t="str">
        <f>IF(A273="","",IF(COUNTIF(Lists!$A$4:$A$53,C273)&gt;0,"YES","NO"))</f>
        <v/>
      </c>
      <c r="K273" s="15" t="str">
        <f>IF(A273="","",IF(COUNTIF(Lists!$I$4:$I$53,D273)&gt;0,"YES","NO"))</f>
        <v/>
      </c>
    </row>
    <row r="274" spans="1:11" x14ac:dyDescent="0.35">
      <c r="A274" s="12" t="str">
        <f>IF(Form_Raw_Data!A274="","",Form_Raw_Data!A274)</f>
        <v/>
      </c>
      <c r="B274" s="13" t="str">
        <f>IF(A274="","",Form_Raw_Data!B274)</f>
        <v/>
      </c>
      <c r="C274" s="14" t="str">
        <f>IF(A274="","",UPPER(TRIM(Form_Raw_Data!C274)))</f>
        <v/>
      </c>
      <c r="D274" s="14" t="str">
        <f>IF(A274="","",UPPER(TRIM(Form_Raw_Data!D274)))</f>
        <v/>
      </c>
      <c r="E274" s="14" t="str">
        <f>IF(A274="","",TRIM(Form_Raw_Data!E274))</f>
        <v/>
      </c>
      <c r="F274" s="12" t="str">
        <f>IF(A274="","",IF(Form_Raw_Data!F274="","",Form_Raw_Data!F274&amp;""))</f>
        <v/>
      </c>
      <c r="G274" s="14" t="str">
        <f>IF(A274="","",IF(ISNUMBER(Form_Raw_Data!F274),IF(AND(Form_Raw_Data!F274&gt;=0,Form_Raw_Data!F274&lt;=24),Form_Raw_Data!F274,""),""))</f>
        <v/>
      </c>
      <c r="H274" s="14" t="str">
        <f>IF(A274="","",TRIM(Form_Raw_Data!G274))</f>
        <v/>
      </c>
      <c r="I274" s="15" t="str">
        <f t="shared" si="4"/>
        <v/>
      </c>
      <c r="J274" s="15" t="str">
        <f>IF(A274="","",IF(COUNTIF(Lists!$A$4:$A$53,C274)&gt;0,"YES","NO"))</f>
        <v/>
      </c>
      <c r="K274" s="15" t="str">
        <f>IF(A274="","",IF(COUNTIF(Lists!$I$4:$I$53,D274)&gt;0,"YES","NO"))</f>
        <v/>
      </c>
    </row>
    <row r="275" spans="1:11" x14ac:dyDescent="0.35">
      <c r="A275" s="12" t="str">
        <f>IF(Form_Raw_Data!A275="","",Form_Raw_Data!A275)</f>
        <v/>
      </c>
      <c r="B275" s="13" t="str">
        <f>IF(A275="","",Form_Raw_Data!B275)</f>
        <v/>
      </c>
      <c r="C275" s="14" t="str">
        <f>IF(A275="","",UPPER(TRIM(Form_Raw_Data!C275)))</f>
        <v/>
      </c>
      <c r="D275" s="14" t="str">
        <f>IF(A275="","",UPPER(TRIM(Form_Raw_Data!D275)))</f>
        <v/>
      </c>
      <c r="E275" s="14" t="str">
        <f>IF(A275="","",TRIM(Form_Raw_Data!E275))</f>
        <v/>
      </c>
      <c r="F275" s="12" t="str">
        <f>IF(A275="","",IF(Form_Raw_Data!F275="","",Form_Raw_Data!F275&amp;""))</f>
        <v/>
      </c>
      <c r="G275" s="14" t="str">
        <f>IF(A275="","",IF(ISNUMBER(Form_Raw_Data!F275),IF(AND(Form_Raw_Data!F275&gt;=0,Form_Raw_Data!F275&lt;=24),Form_Raw_Data!F275,""),""))</f>
        <v/>
      </c>
      <c r="H275" s="14" t="str">
        <f>IF(A275="","",TRIM(Form_Raw_Data!G275))</f>
        <v/>
      </c>
      <c r="I275" s="15" t="str">
        <f t="shared" si="4"/>
        <v/>
      </c>
      <c r="J275" s="15" t="str">
        <f>IF(A275="","",IF(COUNTIF(Lists!$A$4:$A$53,C275)&gt;0,"YES","NO"))</f>
        <v/>
      </c>
      <c r="K275" s="15" t="str">
        <f>IF(A275="","",IF(COUNTIF(Lists!$I$4:$I$53,D275)&gt;0,"YES","NO"))</f>
        <v/>
      </c>
    </row>
    <row r="276" spans="1:11" x14ac:dyDescent="0.35">
      <c r="A276" s="12" t="str">
        <f>IF(Form_Raw_Data!A276="","",Form_Raw_Data!A276)</f>
        <v/>
      </c>
      <c r="B276" s="13" t="str">
        <f>IF(A276="","",Form_Raw_Data!B276)</f>
        <v/>
      </c>
      <c r="C276" s="14" t="str">
        <f>IF(A276="","",UPPER(TRIM(Form_Raw_Data!C276)))</f>
        <v/>
      </c>
      <c r="D276" s="14" t="str">
        <f>IF(A276="","",UPPER(TRIM(Form_Raw_Data!D276)))</f>
        <v/>
      </c>
      <c r="E276" s="14" t="str">
        <f>IF(A276="","",TRIM(Form_Raw_Data!E276))</f>
        <v/>
      </c>
      <c r="F276" s="12" t="str">
        <f>IF(A276="","",IF(Form_Raw_Data!F276="","",Form_Raw_Data!F276&amp;""))</f>
        <v/>
      </c>
      <c r="G276" s="14" t="str">
        <f>IF(A276="","",IF(ISNUMBER(Form_Raw_Data!F276),IF(AND(Form_Raw_Data!F276&gt;=0,Form_Raw_Data!F276&lt;=24),Form_Raw_Data!F276,""),""))</f>
        <v/>
      </c>
      <c r="H276" s="14" t="str">
        <f>IF(A276="","",TRIM(Form_Raw_Data!G276))</f>
        <v/>
      </c>
      <c r="I276" s="15" t="str">
        <f t="shared" si="4"/>
        <v/>
      </c>
      <c r="J276" s="15" t="str">
        <f>IF(A276="","",IF(COUNTIF(Lists!$A$4:$A$53,C276)&gt;0,"YES","NO"))</f>
        <v/>
      </c>
      <c r="K276" s="15" t="str">
        <f>IF(A276="","",IF(COUNTIF(Lists!$I$4:$I$53,D276)&gt;0,"YES","NO"))</f>
        <v/>
      </c>
    </row>
    <row r="277" spans="1:11" x14ac:dyDescent="0.35">
      <c r="A277" s="12" t="str">
        <f>IF(Form_Raw_Data!A277="","",Form_Raw_Data!A277)</f>
        <v/>
      </c>
      <c r="B277" s="13" t="str">
        <f>IF(A277="","",Form_Raw_Data!B277)</f>
        <v/>
      </c>
      <c r="C277" s="14" t="str">
        <f>IF(A277="","",UPPER(TRIM(Form_Raw_Data!C277)))</f>
        <v/>
      </c>
      <c r="D277" s="14" t="str">
        <f>IF(A277="","",UPPER(TRIM(Form_Raw_Data!D277)))</f>
        <v/>
      </c>
      <c r="E277" s="14" t="str">
        <f>IF(A277="","",TRIM(Form_Raw_Data!E277))</f>
        <v/>
      </c>
      <c r="F277" s="12" t="str">
        <f>IF(A277="","",IF(Form_Raw_Data!F277="","",Form_Raw_Data!F277&amp;""))</f>
        <v/>
      </c>
      <c r="G277" s="14" t="str">
        <f>IF(A277="","",IF(ISNUMBER(Form_Raw_Data!F277),IF(AND(Form_Raw_Data!F277&gt;=0,Form_Raw_Data!F277&lt;=24),Form_Raw_Data!F277,""),""))</f>
        <v/>
      </c>
      <c r="H277" s="14" t="str">
        <f>IF(A277="","",TRIM(Form_Raw_Data!G277))</f>
        <v/>
      </c>
      <c r="I277" s="15" t="str">
        <f t="shared" si="4"/>
        <v/>
      </c>
      <c r="J277" s="15" t="str">
        <f>IF(A277="","",IF(COUNTIF(Lists!$A$4:$A$53,C277)&gt;0,"YES","NO"))</f>
        <v/>
      </c>
      <c r="K277" s="15" t="str">
        <f>IF(A277="","",IF(COUNTIF(Lists!$I$4:$I$53,D277)&gt;0,"YES","NO"))</f>
        <v/>
      </c>
    </row>
    <row r="278" spans="1:11" x14ac:dyDescent="0.35">
      <c r="A278" s="12" t="str">
        <f>IF(Form_Raw_Data!A278="","",Form_Raw_Data!A278)</f>
        <v/>
      </c>
      <c r="B278" s="13" t="str">
        <f>IF(A278="","",Form_Raw_Data!B278)</f>
        <v/>
      </c>
      <c r="C278" s="14" t="str">
        <f>IF(A278="","",UPPER(TRIM(Form_Raw_Data!C278)))</f>
        <v/>
      </c>
      <c r="D278" s="14" t="str">
        <f>IF(A278="","",UPPER(TRIM(Form_Raw_Data!D278)))</f>
        <v/>
      </c>
      <c r="E278" s="14" t="str">
        <f>IF(A278="","",TRIM(Form_Raw_Data!E278))</f>
        <v/>
      </c>
      <c r="F278" s="12" t="str">
        <f>IF(A278="","",IF(Form_Raw_Data!F278="","",Form_Raw_Data!F278&amp;""))</f>
        <v/>
      </c>
      <c r="G278" s="14" t="str">
        <f>IF(A278="","",IF(ISNUMBER(Form_Raw_Data!F278),IF(AND(Form_Raw_Data!F278&gt;=0,Form_Raw_Data!F278&lt;=24),Form_Raw_Data!F278,""),""))</f>
        <v/>
      </c>
      <c r="H278" s="14" t="str">
        <f>IF(A278="","",TRIM(Form_Raw_Data!G278))</f>
        <v/>
      </c>
      <c r="I278" s="15" t="str">
        <f t="shared" si="4"/>
        <v/>
      </c>
      <c r="J278" s="15" t="str">
        <f>IF(A278="","",IF(COUNTIF(Lists!$A$4:$A$53,C278)&gt;0,"YES","NO"))</f>
        <v/>
      </c>
      <c r="K278" s="15" t="str">
        <f>IF(A278="","",IF(COUNTIF(Lists!$I$4:$I$53,D278)&gt;0,"YES","NO"))</f>
        <v/>
      </c>
    </row>
    <row r="279" spans="1:11" x14ac:dyDescent="0.35">
      <c r="A279" s="12" t="str">
        <f>IF(Form_Raw_Data!A279="","",Form_Raw_Data!A279)</f>
        <v/>
      </c>
      <c r="B279" s="13" t="str">
        <f>IF(A279="","",Form_Raw_Data!B279)</f>
        <v/>
      </c>
      <c r="C279" s="14" t="str">
        <f>IF(A279="","",UPPER(TRIM(Form_Raw_Data!C279)))</f>
        <v/>
      </c>
      <c r="D279" s="14" t="str">
        <f>IF(A279="","",UPPER(TRIM(Form_Raw_Data!D279)))</f>
        <v/>
      </c>
      <c r="E279" s="14" t="str">
        <f>IF(A279="","",TRIM(Form_Raw_Data!E279))</f>
        <v/>
      </c>
      <c r="F279" s="12" t="str">
        <f>IF(A279="","",IF(Form_Raw_Data!F279="","",Form_Raw_Data!F279&amp;""))</f>
        <v/>
      </c>
      <c r="G279" s="14" t="str">
        <f>IF(A279="","",IF(ISNUMBER(Form_Raw_Data!F279),IF(AND(Form_Raw_Data!F279&gt;=0,Form_Raw_Data!F279&lt;=24),Form_Raw_Data!F279,""),""))</f>
        <v/>
      </c>
      <c r="H279" s="14" t="str">
        <f>IF(A279="","",TRIM(Form_Raw_Data!G279))</f>
        <v/>
      </c>
      <c r="I279" s="15" t="str">
        <f t="shared" si="4"/>
        <v/>
      </c>
      <c r="J279" s="15" t="str">
        <f>IF(A279="","",IF(COUNTIF(Lists!$A$4:$A$53,C279)&gt;0,"YES","NO"))</f>
        <v/>
      </c>
      <c r="K279" s="15" t="str">
        <f>IF(A279="","",IF(COUNTIF(Lists!$I$4:$I$53,D279)&gt;0,"YES","NO"))</f>
        <v/>
      </c>
    </row>
    <row r="280" spans="1:11" x14ac:dyDescent="0.35">
      <c r="A280" s="12" t="str">
        <f>IF(Form_Raw_Data!A280="","",Form_Raw_Data!A280)</f>
        <v/>
      </c>
      <c r="B280" s="13" t="str">
        <f>IF(A280="","",Form_Raw_Data!B280)</f>
        <v/>
      </c>
      <c r="C280" s="14" t="str">
        <f>IF(A280="","",UPPER(TRIM(Form_Raw_Data!C280)))</f>
        <v/>
      </c>
      <c r="D280" s="14" t="str">
        <f>IF(A280="","",UPPER(TRIM(Form_Raw_Data!D280)))</f>
        <v/>
      </c>
      <c r="E280" s="14" t="str">
        <f>IF(A280="","",TRIM(Form_Raw_Data!E280))</f>
        <v/>
      </c>
      <c r="F280" s="12" t="str">
        <f>IF(A280="","",IF(Form_Raw_Data!F280="","",Form_Raw_Data!F280&amp;""))</f>
        <v/>
      </c>
      <c r="G280" s="14" t="str">
        <f>IF(A280="","",IF(ISNUMBER(Form_Raw_Data!F280),IF(AND(Form_Raw_Data!F280&gt;=0,Form_Raw_Data!F280&lt;=24),Form_Raw_Data!F280,""),""))</f>
        <v/>
      </c>
      <c r="H280" s="14" t="str">
        <f>IF(A280="","",TRIM(Form_Raw_Data!G280))</f>
        <v/>
      </c>
      <c r="I280" s="15" t="str">
        <f t="shared" si="4"/>
        <v/>
      </c>
      <c r="J280" s="15" t="str">
        <f>IF(A280="","",IF(COUNTIF(Lists!$A$4:$A$53,C280)&gt;0,"YES","NO"))</f>
        <v/>
      </c>
      <c r="K280" s="15" t="str">
        <f>IF(A280="","",IF(COUNTIF(Lists!$I$4:$I$53,D280)&gt;0,"YES","NO"))</f>
        <v/>
      </c>
    </row>
    <row r="281" spans="1:11" x14ac:dyDescent="0.35">
      <c r="A281" s="12" t="str">
        <f>IF(Form_Raw_Data!A281="","",Form_Raw_Data!A281)</f>
        <v/>
      </c>
      <c r="B281" s="13" t="str">
        <f>IF(A281="","",Form_Raw_Data!B281)</f>
        <v/>
      </c>
      <c r="C281" s="14" t="str">
        <f>IF(A281="","",UPPER(TRIM(Form_Raw_Data!C281)))</f>
        <v/>
      </c>
      <c r="D281" s="14" t="str">
        <f>IF(A281="","",UPPER(TRIM(Form_Raw_Data!D281)))</f>
        <v/>
      </c>
      <c r="E281" s="14" t="str">
        <f>IF(A281="","",TRIM(Form_Raw_Data!E281))</f>
        <v/>
      </c>
      <c r="F281" s="12" t="str">
        <f>IF(A281="","",IF(Form_Raw_Data!F281="","",Form_Raw_Data!F281&amp;""))</f>
        <v/>
      </c>
      <c r="G281" s="14" t="str">
        <f>IF(A281="","",IF(ISNUMBER(Form_Raw_Data!F281),IF(AND(Form_Raw_Data!F281&gt;=0,Form_Raw_Data!F281&lt;=24),Form_Raw_Data!F281,""),""))</f>
        <v/>
      </c>
      <c r="H281" s="14" t="str">
        <f>IF(A281="","",TRIM(Form_Raw_Data!G281))</f>
        <v/>
      </c>
      <c r="I281" s="15" t="str">
        <f t="shared" si="4"/>
        <v/>
      </c>
      <c r="J281" s="15" t="str">
        <f>IF(A281="","",IF(COUNTIF(Lists!$A$4:$A$53,C281)&gt;0,"YES","NO"))</f>
        <v/>
      </c>
      <c r="K281" s="15" t="str">
        <f>IF(A281="","",IF(COUNTIF(Lists!$I$4:$I$53,D281)&gt;0,"YES","NO"))</f>
        <v/>
      </c>
    </row>
    <row r="282" spans="1:11" x14ac:dyDescent="0.35">
      <c r="A282" s="12" t="str">
        <f>IF(Form_Raw_Data!A282="","",Form_Raw_Data!A282)</f>
        <v/>
      </c>
      <c r="B282" s="13" t="str">
        <f>IF(A282="","",Form_Raw_Data!B282)</f>
        <v/>
      </c>
      <c r="C282" s="14" t="str">
        <f>IF(A282="","",UPPER(TRIM(Form_Raw_Data!C282)))</f>
        <v/>
      </c>
      <c r="D282" s="14" t="str">
        <f>IF(A282="","",UPPER(TRIM(Form_Raw_Data!D282)))</f>
        <v/>
      </c>
      <c r="E282" s="14" t="str">
        <f>IF(A282="","",TRIM(Form_Raw_Data!E282))</f>
        <v/>
      </c>
      <c r="F282" s="12" t="str">
        <f>IF(A282="","",IF(Form_Raw_Data!F282="","",Form_Raw_Data!F282&amp;""))</f>
        <v/>
      </c>
      <c r="G282" s="14" t="str">
        <f>IF(A282="","",IF(ISNUMBER(Form_Raw_Data!F282),IF(AND(Form_Raw_Data!F282&gt;=0,Form_Raw_Data!F282&lt;=24),Form_Raw_Data!F282,""),""))</f>
        <v/>
      </c>
      <c r="H282" s="14" t="str">
        <f>IF(A282="","",TRIM(Form_Raw_Data!G282))</f>
        <v/>
      </c>
      <c r="I282" s="15" t="str">
        <f t="shared" si="4"/>
        <v/>
      </c>
      <c r="J282" s="15" t="str">
        <f>IF(A282="","",IF(COUNTIF(Lists!$A$4:$A$53,C282)&gt;0,"YES","NO"))</f>
        <v/>
      </c>
      <c r="K282" s="15" t="str">
        <f>IF(A282="","",IF(COUNTIF(Lists!$I$4:$I$53,D282)&gt;0,"YES","NO"))</f>
        <v/>
      </c>
    </row>
    <row r="283" spans="1:11" x14ac:dyDescent="0.35">
      <c r="A283" s="12" t="str">
        <f>IF(Form_Raw_Data!A283="","",Form_Raw_Data!A283)</f>
        <v/>
      </c>
      <c r="B283" s="13" t="str">
        <f>IF(A283="","",Form_Raw_Data!B283)</f>
        <v/>
      </c>
      <c r="C283" s="14" t="str">
        <f>IF(A283="","",UPPER(TRIM(Form_Raw_Data!C283)))</f>
        <v/>
      </c>
      <c r="D283" s="14" t="str">
        <f>IF(A283="","",UPPER(TRIM(Form_Raw_Data!D283)))</f>
        <v/>
      </c>
      <c r="E283" s="14" t="str">
        <f>IF(A283="","",TRIM(Form_Raw_Data!E283))</f>
        <v/>
      </c>
      <c r="F283" s="12" t="str">
        <f>IF(A283="","",IF(Form_Raw_Data!F283="","",Form_Raw_Data!F283&amp;""))</f>
        <v/>
      </c>
      <c r="G283" s="14" t="str">
        <f>IF(A283="","",IF(ISNUMBER(Form_Raw_Data!F283),IF(AND(Form_Raw_Data!F283&gt;=0,Form_Raw_Data!F283&lt;=24),Form_Raw_Data!F283,""),""))</f>
        <v/>
      </c>
      <c r="H283" s="14" t="str">
        <f>IF(A283="","",TRIM(Form_Raw_Data!G283))</f>
        <v/>
      </c>
      <c r="I283" s="15" t="str">
        <f t="shared" si="4"/>
        <v/>
      </c>
      <c r="J283" s="15" t="str">
        <f>IF(A283="","",IF(COUNTIF(Lists!$A$4:$A$53,C283)&gt;0,"YES","NO"))</f>
        <v/>
      </c>
      <c r="K283" s="15" t="str">
        <f>IF(A283="","",IF(COUNTIF(Lists!$I$4:$I$53,D283)&gt;0,"YES","NO"))</f>
        <v/>
      </c>
    </row>
    <row r="284" spans="1:11" x14ac:dyDescent="0.35">
      <c r="A284" s="12" t="str">
        <f>IF(Form_Raw_Data!A284="","",Form_Raw_Data!A284)</f>
        <v/>
      </c>
      <c r="B284" s="13" t="str">
        <f>IF(A284="","",Form_Raw_Data!B284)</f>
        <v/>
      </c>
      <c r="C284" s="14" t="str">
        <f>IF(A284="","",UPPER(TRIM(Form_Raw_Data!C284)))</f>
        <v/>
      </c>
      <c r="D284" s="14" t="str">
        <f>IF(A284="","",UPPER(TRIM(Form_Raw_Data!D284)))</f>
        <v/>
      </c>
      <c r="E284" s="14" t="str">
        <f>IF(A284="","",TRIM(Form_Raw_Data!E284))</f>
        <v/>
      </c>
      <c r="F284" s="12" t="str">
        <f>IF(A284="","",IF(Form_Raw_Data!F284="","",Form_Raw_Data!F284&amp;""))</f>
        <v/>
      </c>
      <c r="G284" s="14" t="str">
        <f>IF(A284="","",IF(ISNUMBER(Form_Raw_Data!F284),IF(AND(Form_Raw_Data!F284&gt;=0,Form_Raw_Data!F284&lt;=24),Form_Raw_Data!F284,""),""))</f>
        <v/>
      </c>
      <c r="H284" s="14" t="str">
        <f>IF(A284="","",TRIM(Form_Raw_Data!G284))</f>
        <v/>
      </c>
      <c r="I284" s="15" t="str">
        <f t="shared" si="4"/>
        <v/>
      </c>
      <c r="J284" s="15" t="str">
        <f>IF(A284="","",IF(COUNTIF(Lists!$A$4:$A$53,C284)&gt;0,"YES","NO"))</f>
        <v/>
      </c>
      <c r="K284" s="15" t="str">
        <f>IF(A284="","",IF(COUNTIF(Lists!$I$4:$I$53,D284)&gt;0,"YES","NO"))</f>
        <v/>
      </c>
    </row>
    <row r="285" spans="1:11" x14ac:dyDescent="0.35">
      <c r="A285" s="12" t="str">
        <f>IF(Form_Raw_Data!A285="","",Form_Raw_Data!A285)</f>
        <v/>
      </c>
      <c r="B285" s="13" t="str">
        <f>IF(A285="","",Form_Raw_Data!B285)</f>
        <v/>
      </c>
      <c r="C285" s="14" t="str">
        <f>IF(A285="","",UPPER(TRIM(Form_Raw_Data!C285)))</f>
        <v/>
      </c>
      <c r="D285" s="14" t="str">
        <f>IF(A285="","",UPPER(TRIM(Form_Raw_Data!D285)))</f>
        <v/>
      </c>
      <c r="E285" s="14" t="str">
        <f>IF(A285="","",TRIM(Form_Raw_Data!E285))</f>
        <v/>
      </c>
      <c r="F285" s="12" t="str">
        <f>IF(A285="","",IF(Form_Raw_Data!F285="","",Form_Raw_Data!F285&amp;""))</f>
        <v/>
      </c>
      <c r="G285" s="14" t="str">
        <f>IF(A285="","",IF(ISNUMBER(Form_Raw_Data!F285),IF(AND(Form_Raw_Data!F285&gt;=0,Form_Raw_Data!F285&lt;=24),Form_Raw_Data!F285,""),""))</f>
        <v/>
      </c>
      <c r="H285" s="14" t="str">
        <f>IF(A285="","",TRIM(Form_Raw_Data!G285))</f>
        <v/>
      </c>
      <c r="I285" s="15" t="str">
        <f t="shared" si="4"/>
        <v/>
      </c>
      <c r="J285" s="15" t="str">
        <f>IF(A285="","",IF(COUNTIF(Lists!$A$4:$A$53,C285)&gt;0,"YES","NO"))</f>
        <v/>
      </c>
      <c r="K285" s="15" t="str">
        <f>IF(A285="","",IF(COUNTIF(Lists!$I$4:$I$53,D285)&gt;0,"YES","NO"))</f>
        <v/>
      </c>
    </row>
    <row r="286" spans="1:11" x14ac:dyDescent="0.35">
      <c r="A286" s="12" t="str">
        <f>IF(Form_Raw_Data!A286="","",Form_Raw_Data!A286)</f>
        <v/>
      </c>
      <c r="B286" s="13" t="str">
        <f>IF(A286="","",Form_Raw_Data!B286)</f>
        <v/>
      </c>
      <c r="C286" s="14" t="str">
        <f>IF(A286="","",UPPER(TRIM(Form_Raw_Data!C286)))</f>
        <v/>
      </c>
      <c r="D286" s="14" t="str">
        <f>IF(A286="","",UPPER(TRIM(Form_Raw_Data!D286)))</f>
        <v/>
      </c>
      <c r="E286" s="14" t="str">
        <f>IF(A286="","",TRIM(Form_Raw_Data!E286))</f>
        <v/>
      </c>
      <c r="F286" s="12" t="str">
        <f>IF(A286="","",IF(Form_Raw_Data!F286="","",Form_Raw_Data!F286&amp;""))</f>
        <v/>
      </c>
      <c r="G286" s="14" t="str">
        <f>IF(A286="","",IF(ISNUMBER(Form_Raw_Data!F286),IF(AND(Form_Raw_Data!F286&gt;=0,Form_Raw_Data!F286&lt;=24),Form_Raw_Data!F286,""),""))</f>
        <v/>
      </c>
      <c r="H286" s="14" t="str">
        <f>IF(A286="","",TRIM(Form_Raw_Data!G286))</f>
        <v/>
      </c>
      <c r="I286" s="15" t="str">
        <f t="shared" si="4"/>
        <v/>
      </c>
      <c r="J286" s="15" t="str">
        <f>IF(A286="","",IF(COUNTIF(Lists!$A$4:$A$53,C286)&gt;0,"YES","NO"))</f>
        <v/>
      </c>
      <c r="K286" s="15" t="str">
        <f>IF(A286="","",IF(COUNTIF(Lists!$I$4:$I$53,D286)&gt;0,"YES","NO"))</f>
        <v/>
      </c>
    </row>
    <row r="287" spans="1:11" x14ac:dyDescent="0.35">
      <c r="A287" s="12" t="str">
        <f>IF(Form_Raw_Data!A287="","",Form_Raw_Data!A287)</f>
        <v/>
      </c>
      <c r="B287" s="13" t="str">
        <f>IF(A287="","",Form_Raw_Data!B287)</f>
        <v/>
      </c>
      <c r="C287" s="14" t="str">
        <f>IF(A287="","",UPPER(TRIM(Form_Raw_Data!C287)))</f>
        <v/>
      </c>
      <c r="D287" s="14" t="str">
        <f>IF(A287="","",UPPER(TRIM(Form_Raw_Data!D287)))</f>
        <v/>
      </c>
      <c r="E287" s="14" t="str">
        <f>IF(A287="","",TRIM(Form_Raw_Data!E287))</f>
        <v/>
      </c>
      <c r="F287" s="12" t="str">
        <f>IF(A287="","",IF(Form_Raw_Data!F287="","",Form_Raw_Data!F287&amp;""))</f>
        <v/>
      </c>
      <c r="G287" s="14" t="str">
        <f>IF(A287="","",IF(ISNUMBER(Form_Raw_Data!F287),IF(AND(Form_Raw_Data!F287&gt;=0,Form_Raw_Data!F287&lt;=24),Form_Raw_Data!F287,""),""))</f>
        <v/>
      </c>
      <c r="H287" s="14" t="str">
        <f>IF(A287="","",TRIM(Form_Raw_Data!G287))</f>
        <v/>
      </c>
      <c r="I287" s="15" t="str">
        <f t="shared" si="4"/>
        <v/>
      </c>
      <c r="J287" s="15" t="str">
        <f>IF(A287="","",IF(COUNTIF(Lists!$A$4:$A$53,C287)&gt;0,"YES","NO"))</f>
        <v/>
      </c>
      <c r="K287" s="15" t="str">
        <f>IF(A287="","",IF(COUNTIF(Lists!$I$4:$I$53,D287)&gt;0,"YES","NO"))</f>
        <v/>
      </c>
    </row>
    <row r="288" spans="1:11" x14ac:dyDescent="0.35">
      <c r="A288" s="12" t="str">
        <f>IF(Form_Raw_Data!A288="","",Form_Raw_Data!A288)</f>
        <v/>
      </c>
      <c r="B288" s="13" t="str">
        <f>IF(A288="","",Form_Raw_Data!B288)</f>
        <v/>
      </c>
      <c r="C288" s="14" t="str">
        <f>IF(A288="","",UPPER(TRIM(Form_Raw_Data!C288)))</f>
        <v/>
      </c>
      <c r="D288" s="14" t="str">
        <f>IF(A288="","",UPPER(TRIM(Form_Raw_Data!D288)))</f>
        <v/>
      </c>
      <c r="E288" s="14" t="str">
        <f>IF(A288="","",TRIM(Form_Raw_Data!E288))</f>
        <v/>
      </c>
      <c r="F288" s="12" t="str">
        <f>IF(A288="","",IF(Form_Raw_Data!F288="","",Form_Raw_Data!F288&amp;""))</f>
        <v/>
      </c>
      <c r="G288" s="14" t="str">
        <f>IF(A288="","",IF(ISNUMBER(Form_Raw_Data!F288),IF(AND(Form_Raw_Data!F288&gt;=0,Form_Raw_Data!F288&lt;=24),Form_Raw_Data!F288,""),""))</f>
        <v/>
      </c>
      <c r="H288" s="14" t="str">
        <f>IF(A288="","",TRIM(Form_Raw_Data!G288))</f>
        <v/>
      </c>
      <c r="I288" s="15" t="str">
        <f t="shared" si="4"/>
        <v/>
      </c>
      <c r="J288" s="15" t="str">
        <f>IF(A288="","",IF(COUNTIF(Lists!$A$4:$A$53,C288)&gt;0,"YES","NO"))</f>
        <v/>
      </c>
      <c r="K288" s="15" t="str">
        <f>IF(A288="","",IF(COUNTIF(Lists!$I$4:$I$53,D288)&gt;0,"YES","NO"))</f>
        <v/>
      </c>
    </row>
    <row r="289" spans="1:11" x14ac:dyDescent="0.35">
      <c r="A289" s="12" t="str">
        <f>IF(Form_Raw_Data!A289="","",Form_Raw_Data!A289)</f>
        <v/>
      </c>
      <c r="B289" s="13" t="str">
        <f>IF(A289="","",Form_Raw_Data!B289)</f>
        <v/>
      </c>
      <c r="C289" s="14" t="str">
        <f>IF(A289="","",UPPER(TRIM(Form_Raw_Data!C289)))</f>
        <v/>
      </c>
      <c r="D289" s="14" t="str">
        <f>IF(A289="","",UPPER(TRIM(Form_Raw_Data!D289)))</f>
        <v/>
      </c>
      <c r="E289" s="14" t="str">
        <f>IF(A289="","",TRIM(Form_Raw_Data!E289))</f>
        <v/>
      </c>
      <c r="F289" s="12" t="str">
        <f>IF(A289="","",IF(Form_Raw_Data!F289="","",Form_Raw_Data!F289&amp;""))</f>
        <v/>
      </c>
      <c r="G289" s="14" t="str">
        <f>IF(A289="","",IF(ISNUMBER(Form_Raw_Data!F289),IF(AND(Form_Raw_Data!F289&gt;=0,Form_Raw_Data!F289&lt;=24),Form_Raw_Data!F289,""),""))</f>
        <v/>
      </c>
      <c r="H289" s="14" t="str">
        <f>IF(A289="","",TRIM(Form_Raw_Data!G289))</f>
        <v/>
      </c>
      <c r="I289" s="15" t="str">
        <f t="shared" si="4"/>
        <v/>
      </c>
      <c r="J289" s="15" t="str">
        <f>IF(A289="","",IF(COUNTIF(Lists!$A$4:$A$53,C289)&gt;0,"YES","NO"))</f>
        <v/>
      </c>
      <c r="K289" s="15" t="str">
        <f>IF(A289="","",IF(COUNTIF(Lists!$I$4:$I$53,D289)&gt;0,"YES","NO"))</f>
        <v/>
      </c>
    </row>
    <row r="290" spans="1:11" x14ac:dyDescent="0.35">
      <c r="A290" s="12" t="str">
        <f>IF(Form_Raw_Data!A290="","",Form_Raw_Data!A290)</f>
        <v/>
      </c>
      <c r="B290" s="13" t="str">
        <f>IF(A290="","",Form_Raw_Data!B290)</f>
        <v/>
      </c>
      <c r="C290" s="14" t="str">
        <f>IF(A290="","",UPPER(TRIM(Form_Raw_Data!C290)))</f>
        <v/>
      </c>
      <c r="D290" s="14" t="str">
        <f>IF(A290="","",UPPER(TRIM(Form_Raw_Data!D290)))</f>
        <v/>
      </c>
      <c r="E290" s="14" t="str">
        <f>IF(A290="","",TRIM(Form_Raw_Data!E290))</f>
        <v/>
      </c>
      <c r="F290" s="12" t="str">
        <f>IF(A290="","",IF(Form_Raw_Data!F290="","",Form_Raw_Data!F290&amp;""))</f>
        <v/>
      </c>
      <c r="G290" s="14" t="str">
        <f>IF(A290="","",IF(ISNUMBER(Form_Raw_Data!F290),IF(AND(Form_Raw_Data!F290&gt;=0,Form_Raw_Data!F290&lt;=24),Form_Raw_Data!F290,""),""))</f>
        <v/>
      </c>
      <c r="H290" s="14" t="str">
        <f>IF(A290="","",TRIM(Form_Raw_Data!G290))</f>
        <v/>
      </c>
      <c r="I290" s="15" t="str">
        <f t="shared" si="4"/>
        <v/>
      </c>
      <c r="J290" s="15" t="str">
        <f>IF(A290="","",IF(COUNTIF(Lists!$A$4:$A$53,C290)&gt;0,"YES","NO"))</f>
        <v/>
      </c>
      <c r="K290" s="15" t="str">
        <f>IF(A290="","",IF(COUNTIF(Lists!$I$4:$I$53,D290)&gt;0,"YES","NO"))</f>
        <v/>
      </c>
    </row>
    <row r="291" spans="1:11" x14ac:dyDescent="0.35">
      <c r="A291" s="12" t="str">
        <f>IF(Form_Raw_Data!A291="","",Form_Raw_Data!A291)</f>
        <v/>
      </c>
      <c r="B291" s="13" t="str">
        <f>IF(A291="","",Form_Raw_Data!B291)</f>
        <v/>
      </c>
      <c r="C291" s="14" t="str">
        <f>IF(A291="","",UPPER(TRIM(Form_Raw_Data!C291)))</f>
        <v/>
      </c>
      <c r="D291" s="14" t="str">
        <f>IF(A291="","",UPPER(TRIM(Form_Raw_Data!D291)))</f>
        <v/>
      </c>
      <c r="E291" s="14" t="str">
        <f>IF(A291="","",TRIM(Form_Raw_Data!E291))</f>
        <v/>
      </c>
      <c r="F291" s="12" t="str">
        <f>IF(A291="","",IF(Form_Raw_Data!F291="","",Form_Raw_Data!F291&amp;""))</f>
        <v/>
      </c>
      <c r="G291" s="14" t="str">
        <f>IF(A291="","",IF(ISNUMBER(Form_Raw_Data!F291),IF(AND(Form_Raw_Data!F291&gt;=0,Form_Raw_Data!F291&lt;=24),Form_Raw_Data!F291,""),""))</f>
        <v/>
      </c>
      <c r="H291" s="14" t="str">
        <f>IF(A291="","",TRIM(Form_Raw_Data!G291))</f>
        <v/>
      </c>
      <c r="I291" s="15" t="str">
        <f t="shared" si="4"/>
        <v/>
      </c>
      <c r="J291" s="15" t="str">
        <f>IF(A291="","",IF(COUNTIF(Lists!$A$4:$A$53,C291)&gt;0,"YES","NO"))</f>
        <v/>
      </c>
      <c r="K291" s="15" t="str">
        <f>IF(A291="","",IF(COUNTIF(Lists!$I$4:$I$53,D291)&gt;0,"YES","NO"))</f>
        <v/>
      </c>
    </row>
    <row r="292" spans="1:11" x14ac:dyDescent="0.35">
      <c r="A292" s="12" t="str">
        <f>IF(Form_Raw_Data!A292="","",Form_Raw_Data!A292)</f>
        <v/>
      </c>
      <c r="B292" s="13" t="str">
        <f>IF(A292="","",Form_Raw_Data!B292)</f>
        <v/>
      </c>
      <c r="C292" s="14" t="str">
        <f>IF(A292="","",UPPER(TRIM(Form_Raw_Data!C292)))</f>
        <v/>
      </c>
      <c r="D292" s="14" t="str">
        <f>IF(A292="","",UPPER(TRIM(Form_Raw_Data!D292)))</f>
        <v/>
      </c>
      <c r="E292" s="14" t="str">
        <f>IF(A292="","",TRIM(Form_Raw_Data!E292))</f>
        <v/>
      </c>
      <c r="F292" s="12" t="str">
        <f>IF(A292="","",IF(Form_Raw_Data!F292="","",Form_Raw_Data!F292&amp;""))</f>
        <v/>
      </c>
      <c r="G292" s="14" t="str">
        <f>IF(A292="","",IF(ISNUMBER(Form_Raw_Data!F292),IF(AND(Form_Raw_Data!F292&gt;=0,Form_Raw_Data!F292&lt;=24),Form_Raw_Data!F292,""),""))</f>
        <v/>
      </c>
      <c r="H292" s="14" t="str">
        <f>IF(A292="","",TRIM(Form_Raw_Data!G292))</f>
        <v/>
      </c>
      <c r="I292" s="15" t="str">
        <f t="shared" si="4"/>
        <v/>
      </c>
      <c r="J292" s="15" t="str">
        <f>IF(A292="","",IF(COUNTIF(Lists!$A$4:$A$53,C292)&gt;0,"YES","NO"))</f>
        <v/>
      </c>
      <c r="K292" s="15" t="str">
        <f>IF(A292="","",IF(COUNTIF(Lists!$I$4:$I$53,D292)&gt;0,"YES","NO"))</f>
        <v/>
      </c>
    </row>
    <row r="293" spans="1:11" x14ac:dyDescent="0.35">
      <c r="A293" s="12" t="str">
        <f>IF(Form_Raw_Data!A293="","",Form_Raw_Data!A293)</f>
        <v/>
      </c>
      <c r="B293" s="13" t="str">
        <f>IF(A293="","",Form_Raw_Data!B293)</f>
        <v/>
      </c>
      <c r="C293" s="14" t="str">
        <f>IF(A293="","",UPPER(TRIM(Form_Raw_Data!C293)))</f>
        <v/>
      </c>
      <c r="D293" s="14" t="str">
        <f>IF(A293="","",UPPER(TRIM(Form_Raw_Data!D293)))</f>
        <v/>
      </c>
      <c r="E293" s="14" t="str">
        <f>IF(A293="","",TRIM(Form_Raw_Data!E293))</f>
        <v/>
      </c>
      <c r="F293" s="12" t="str">
        <f>IF(A293="","",IF(Form_Raw_Data!F293="","",Form_Raw_Data!F293&amp;""))</f>
        <v/>
      </c>
      <c r="G293" s="14" t="str">
        <f>IF(A293="","",IF(ISNUMBER(Form_Raw_Data!F293),IF(AND(Form_Raw_Data!F293&gt;=0,Form_Raw_Data!F293&lt;=24),Form_Raw_Data!F293,""),""))</f>
        <v/>
      </c>
      <c r="H293" s="14" t="str">
        <f>IF(A293="","",TRIM(Form_Raw_Data!G293))</f>
        <v/>
      </c>
      <c r="I293" s="15" t="str">
        <f t="shared" si="4"/>
        <v/>
      </c>
      <c r="J293" s="15" t="str">
        <f>IF(A293="","",IF(COUNTIF(Lists!$A$4:$A$53,C293)&gt;0,"YES","NO"))</f>
        <v/>
      </c>
      <c r="K293" s="15" t="str">
        <f>IF(A293="","",IF(COUNTIF(Lists!$I$4:$I$53,D293)&gt;0,"YES","NO"))</f>
        <v/>
      </c>
    </row>
    <row r="294" spans="1:11" x14ac:dyDescent="0.35">
      <c r="A294" s="12" t="str">
        <f>IF(Form_Raw_Data!A294="","",Form_Raw_Data!A294)</f>
        <v/>
      </c>
      <c r="B294" s="13" t="str">
        <f>IF(A294="","",Form_Raw_Data!B294)</f>
        <v/>
      </c>
      <c r="C294" s="14" t="str">
        <f>IF(A294="","",UPPER(TRIM(Form_Raw_Data!C294)))</f>
        <v/>
      </c>
      <c r="D294" s="14" t="str">
        <f>IF(A294="","",UPPER(TRIM(Form_Raw_Data!D294)))</f>
        <v/>
      </c>
      <c r="E294" s="14" t="str">
        <f>IF(A294="","",TRIM(Form_Raw_Data!E294))</f>
        <v/>
      </c>
      <c r="F294" s="12" t="str">
        <f>IF(A294="","",IF(Form_Raw_Data!F294="","",Form_Raw_Data!F294&amp;""))</f>
        <v/>
      </c>
      <c r="G294" s="14" t="str">
        <f>IF(A294="","",IF(ISNUMBER(Form_Raw_Data!F294),IF(AND(Form_Raw_Data!F294&gt;=0,Form_Raw_Data!F294&lt;=24),Form_Raw_Data!F294,""),""))</f>
        <v/>
      </c>
      <c r="H294" s="14" t="str">
        <f>IF(A294="","",TRIM(Form_Raw_Data!G294))</f>
        <v/>
      </c>
      <c r="I294" s="15" t="str">
        <f t="shared" si="4"/>
        <v/>
      </c>
      <c r="J294" s="15" t="str">
        <f>IF(A294="","",IF(COUNTIF(Lists!$A$4:$A$53,C294)&gt;0,"YES","NO"))</f>
        <v/>
      </c>
      <c r="K294" s="15" t="str">
        <f>IF(A294="","",IF(COUNTIF(Lists!$I$4:$I$53,D294)&gt;0,"YES","NO"))</f>
        <v/>
      </c>
    </row>
    <row r="295" spans="1:11" x14ac:dyDescent="0.35">
      <c r="A295" s="12" t="str">
        <f>IF(Form_Raw_Data!A295="","",Form_Raw_Data!A295)</f>
        <v/>
      </c>
      <c r="B295" s="13" t="str">
        <f>IF(A295="","",Form_Raw_Data!B295)</f>
        <v/>
      </c>
      <c r="C295" s="14" t="str">
        <f>IF(A295="","",UPPER(TRIM(Form_Raw_Data!C295)))</f>
        <v/>
      </c>
      <c r="D295" s="14" t="str">
        <f>IF(A295="","",UPPER(TRIM(Form_Raw_Data!D295)))</f>
        <v/>
      </c>
      <c r="E295" s="14" t="str">
        <f>IF(A295="","",TRIM(Form_Raw_Data!E295))</f>
        <v/>
      </c>
      <c r="F295" s="12" t="str">
        <f>IF(A295="","",IF(Form_Raw_Data!F295="","",Form_Raw_Data!F295&amp;""))</f>
        <v/>
      </c>
      <c r="G295" s="14" t="str">
        <f>IF(A295="","",IF(ISNUMBER(Form_Raw_Data!F295),IF(AND(Form_Raw_Data!F295&gt;=0,Form_Raw_Data!F295&lt;=24),Form_Raw_Data!F295,""),""))</f>
        <v/>
      </c>
      <c r="H295" s="14" t="str">
        <f>IF(A295="","",TRIM(Form_Raw_Data!G295))</f>
        <v/>
      </c>
      <c r="I295" s="15" t="str">
        <f t="shared" si="4"/>
        <v/>
      </c>
      <c r="J295" s="15" t="str">
        <f>IF(A295="","",IF(COUNTIF(Lists!$A$4:$A$53,C295)&gt;0,"YES","NO"))</f>
        <v/>
      </c>
      <c r="K295" s="15" t="str">
        <f>IF(A295="","",IF(COUNTIF(Lists!$I$4:$I$53,D295)&gt;0,"YES","NO"))</f>
        <v/>
      </c>
    </row>
    <row r="296" spans="1:11" x14ac:dyDescent="0.35">
      <c r="A296" s="12" t="str">
        <f>IF(Form_Raw_Data!A296="","",Form_Raw_Data!A296)</f>
        <v/>
      </c>
      <c r="B296" s="13" t="str">
        <f>IF(A296="","",Form_Raw_Data!B296)</f>
        <v/>
      </c>
      <c r="C296" s="14" t="str">
        <f>IF(A296="","",UPPER(TRIM(Form_Raw_Data!C296)))</f>
        <v/>
      </c>
      <c r="D296" s="14" t="str">
        <f>IF(A296="","",UPPER(TRIM(Form_Raw_Data!D296)))</f>
        <v/>
      </c>
      <c r="E296" s="14" t="str">
        <f>IF(A296="","",TRIM(Form_Raw_Data!E296))</f>
        <v/>
      </c>
      <c r="F296" s="12" t="str">
        <f>IF(A296="","",IF(Form_Raw_Data!F296="","",Form_Raw_Data!F296&amp;""))</f>
        <v/>
      </c>
      <c r="G296" s="14" t="str">
        <f>IF(A296="","",IF(ISNUMBER(Form_Raw_Data!F296),IF(AND(Form_Raw_Data!F296&gt;=0,Form_Raw_Data!F296&lt;=24),Form_Raw_Data!F296,""),""))</f>
        <v/>
      </c>
      <c r="H296" s="14" t="str">
        <f>IF(A296="","",TRIM(Form_Raw_Data!G296))</f>
        <v/>
      </c>
      <c r="I296" s="15" t="str">
        <f t="shared" si="4"/>
        <v/>
      </c>
      <c r="J296" s="15" t="str">
        <f>IF(A296="","",IF(COUNTIF(Lists!$A$4:$A$53,C296)&gt;0,"YES","NO"))</f>
        <v/>
      </c>
      <c r="K296" s="15" t="str">
        <f>IF(A296="","",IF(COUNTIF(Lists!$I$4:$I$53,D296)&gt;0,"YES","NO"))</f>
        <v/>
      </c>
    </row>
    <row r="297" spans="1:11" x14ac:dyDescent="0.35">
      <c r="A297" s="12" t="str">
        <f>IF(Form_Raw_Data!A297="","",Form_Raw_Data!A297)</f>
        <v/>
      </c>
      <c r="B297" s="13" t="str">
        <f>IF(A297="","",Form_Raw_Data!B297)</f>
        <v/>
      </c>
      <c r="C297" s="14" t="str">
        <f>IF(A297="","",UPPER(TRIM(Form_Raw_Data!C297)))</f>
        <v/>
      </c>
      <c r="D297" s="14" t="str">
        <f>IF(A297="","",UPPER(TRIM(Form_Raw_Data!D297)))</f>
        <v/>
      </c>
      <c r="E297" s="14" t="str">
        <f>IF(A297="","",TRIM(Form_Raw_Data!E297))</f>
        <v/>
      </c>
      <c r="F297" s="12" t="str">
        <f>IF(A297="","",IF(Form_Raw_Data!F297="","",Form_Raw_Data!F297&amp;""))</f>
        <v/>
      </c>
      <c r="G297" s="14" t="str">
        <f>IF(A297="","",IF(ISNUMBER(Form_Raw_Data!F297),IF(AND(Form_Raw_Data!F297&gt;=0,Form_Raw_Data!F297&lt;=24),Form_Raw_Data!F297,""),""))</f>
        <v/>
      </c>
      <c r="H297" s="14" t="str">
        <f>IF(A297="","",TRIM(Form_Raw_Data!G297))</f>
        <v/>
      </c>
      <c r="I297" s="15" t="str">
        <f t="shared" si="4"/>
        <v/>
      </c>
      <c r="J297" s="15" t="str">
        <f>IF(A297="","",IF(COUNTIF(Lists!$A$4:$A$53,C297)&gt;0,"YES","NO"))</f>
        <v/>
      </c>
      <c r="K297" s="15" t="str">
        <f>IF(A297="","",IF(COUNTIF(Lists!$I$4:$I$53,D297)&gt;0,"YES","NO"))</f>
        <v/>
      </c>
    </row>
    <row r="298" spans="1:11" x14ac:dyDescent="0.35">
      <c r="A298" s="12" t="str">
        <f>IF(Form_Raw_Data!A298="","",Form_Raw_Data!A298)</f>
        <v/>
      </c>
      <c r="B298" s="13" t="str">
        <f>IF(A298="","",Form_Raw_Data!B298)</f>
        <v/>
      </c>
      <c r="C298" s="14" t="str">
        <f>IF(A298="","",UPPER(TRIM(Form_Raw_Data!C298)))</f>
        <v/>
      </c>
      <c r="D298" s="14" t="str">
        <f>IF(A298="","",UPPER(TRIM(Form_Raw_Data!D298)))</f>
        <v/>
      </c>
      <c r="E298" s="14" t="str">
        <f>IF(A298="","",TRIM(Form_Raw_Data!E298))</f>
        <v/>
      </c>
      <c r="F298" s="12" t="str">
        <f>IF(A298="","",IF(Form_Raw_Data!F298="","",Form_Raw_Data!F298&amp;""))</f>
        <v/>
      </c>
      <c r="G298" s="14" t="str">
        <f>IF(A298="","",IF(ISNUMBER(Form_Raw_Data!F298),IF(AND(Form_Raw_Data!F298&gt;=0,Form_Raw_Data!F298&lt;=24),Form_Raw_Data!F298,""),""))</f>
        <v/>
      </c>
      <c r="H298" s="14" t="str">
        <f>IF(A298="","",TRIM(Form_Raw_Data!G298))</f>
        <v/>
      </c>
      <c r="I298" s="15" t="str">
        <f t="shared" si="4"/>
        <v/>
      </c>
      <c r="J298" s="15" t="str">
        <f>IF(A298="","",IF(COUNTIF(Lists!$A$4:$A$53,C298)&gt;0,"YES","NO"))</f>
        <v/>
      </c>
      <c r="K298" s="15" t="str">
        <f>IF(A298="","",IF(COUNTIF(Lists!$I$4:$I$53,D298)&gt;0,"YES","NO"))</f>
        <v/>
      </c>
    </row>
    <row r="299" spans="1:11" x14ac:dyDescent="0.35">
      <c r="A299" s="12" t="str">
        <f>IF(Form_Raw_Data!A299="","",Form_Raw_Data!A299)</f>
        <v/>
      </c>
      <c r="B299" s="13" t="str">
        <f>IF(A299="","",Form_Raw_Data!B299)</f>
        <v/>
      </c>
      <c r="C299" s="14" t="str">
        <f>IF(A299="","",UPPER(TRIM(Form_Raw_Data!C299)))</f>
        <v/>
      </c>
      <c r="D299" s="14" t="str">
        <f>IF(A299="","",UPPER(TRIM(Form_Raw_Data!D299)))</f>
        <v/>
      </c>
      <c r="E299" s="14" t="str">
        <f>IF(A299="","",TRIM(Form_Raw_Data!E299))</f>
        <v/>
      </c>
      <c r="F299" s="12" t="str">
        <f>IF(A299="","",IF(Form_Raw_Data!F299="","",Form_Raw_Data!F299&amp;""))</f>
        <v/>
      </c>
      <c r="G299" s="14" t="str">
        <f>IF(A299="","",IF(ISNUMBER(Form_Raw_Data!F299),IF(AND(Form_Raw_Data!F299&gt;=0,Form_Raw_Data!F299&lt;=24),Form_Raw_Data!F299,""),""))</f>
        <v/>
      </c>
      <c r="H299" s="14" t="str">
        <f>IF(A299="","",TRIM(Form_Raw_Data!G299))</f>
        <v/>
      </c>
      <c r="I299" s="15" t="str">
        <f t="shared" si="4"/>
        <v/>
      </c>
      <c r="J299" s="15" t="str">
        <f>IF(A299="","",IF(COUNTIF(Lists!$A$4:$A$53,C299)&gt;0,"YES","NO"))</f>
        <v/>
      </c>
      <c r="K299" s="15" t="str">
        <f>IF(A299="","",IF(COUNTIF(Lists!$I$4:$I$53,D299)&gt;0,"YES","NO"))</f>
        <v/>
      </c>
    </row>
    <row r="300" spans="1:11" x14ac:dyDescent="0.35">
      <c r="A300" s="12" t="str">
        <f>IF(Form_Raw_Data!A300="","",Form_Raw_Data!A300)</f>
        <v/>
      </c>
      <c r="B300" s="13" t="str">
        <f>IF(A300="","",Form_Raw_Data!B300)</f>
        <v/>
      </c>
      <c r="C300" s="14" t="str">
        <f>IF(A300="","",UPPER(TRIM(Form_Raw_Data!C300)))</f>
        <v/>
      </c>
      <c r="D300" s="14" t="str">
        <f>IF(A300="","",UPPER(TRIM(Form_Raw_Data!D300)))</f>
        <v/>
      </c>
      <c r="E300" s="14" t="str">
        <f>IF(A300="","",TRIM(Form_Raw_Data!E300))</f>
        <v/>
      </c>
      <c r="F300" s="12" t="str">
        <f>IF(A300="","",IF(Form_Raw_Data!F300="","",Form_Raw_Data!F300&amp;""))</f>
        <v/>
      </c>
      <c r="G300" s="14" t="str">
        <f>IF(A300="","",IF(ISNUMBER(Form_Raw_Data!F300),IF(AND(Form_Raw_Data!F300&gt;=0,Form_Raw_Data!F300&lt;=24),Form_Raw_Data!F300,""),""))</f>
        <v/>
      </c>
      <c r="H300" s="14" t="str">
        <f>IF(A300="","",TRIM(Form_Raw_Data!G300))</f>
        <v/>
      </c>
      <c r="I300" s="15" t="str">
        <f t="shared" si="4"/>
        <v/>
      </c>
      <c r="J300" s="15" t="str">
        <f>IF(A300="","",IF(COUNTIF(Lists!$A$4:$A$53,C300)&gt;0,"YES","NO"))</f>
        <v/>
      </c>
      <c r="K300" s="15" t="str">
        <f>IF(A300="","",IF(COUNTIF(Lists!$I$4:$I$53,D300)&gt;0,"YES","NO"))</f>
        <v/>
      </c>
    </row>
    <row r="301" spans="1:11" x14ac:dyDescent="0.35">
      <c r="A301" s="12" t="str">
        <f>IF(Form_Raw_Data!A301="","",Form_Raw_Data!A301)</f>
        <v/>
      </c>
      <c r="B301" s="13" t="str">
        <f>IF(A301="","",Form_Raw_Data!B301)</f>
        <v/>
      </c>
      <c r="C301" s="14" t="str">
        <f>IF(A301="","",UPPER(TRIM(Form_Raw_Data!C301)))</f>
        <v/>
      </c>
      <c r="D301" s="14" t="str">
        <f>IF(A301="","",UPPER(TRIM(Form_Raw_Data!D301)))</f>
        <v/>
      </c>
      <c r="E301" s="14" t="str">
        <f>IF(A301="","",TRIM(Form_Raw_Data!E301))</f>
        <v/>
      </c>
      <c r="F301" s="12" t="str">
        <f>IF(A301="","",IF(Form_Raw_Data!F301="","",Form_Raw_Data!F301&amp;""))</f>
        <v/>
      </c>
      <c r="G301" s="14" t="str">
        <f>IF(A301="","",IF(ISNUMBER(Form_Raw_Data!F301),IF(AND(Form_Raw_Data!F301&gt;=0,Form_Raw_Data!F301&lt;=24),Form_Raw_Data!F301,""),""))</f>
        <v/>
      </c>
      <c r="H301" s="14" t="str">
        <f>IF(A301="","",TRIM(Form_Raw_Data!G301))</f>
        <v/>
      </c>
      <c r="I301" s="15" t="str">
        <f t="shared" si="4"/>
        <v/>
      </c>
      <c r="J301" s="15" t="str">
        <f>IF(A301="","",IF(COUNTIF(Lists!$A$4:$A$53,C301)&gt;0,"YES","NO"))</f>
        <v/>
      </c>
      <c r="K301" s="15" t="str">
        <f>IF(A301="","",IF(COUNTIF(Lists!$I$4:$I$53,D301)&gt;0,"YES","NO"))</f>
        <v/>
      </c>
    </row>
    <row r="302" spans="1:11" x14ac:dyDescent="0.35">
      <c r="A302" s="12" t="str">
        <f>IF(Form_Raw_Data!A302="","",Form_Raw_Data!A302)</f>
        <v/>
      </c>
      <c r="B302" s="13" t="str">
        <f>IF(A302="","",Form_Raw_Data!B302)</f>
        <v/>
      </c>
      <c r="C302" s="14" t="str">
        <f>IF(A302="","",UPPER(TRIM(Form_Raw_Data!C302)))</f>
        <v/>
      </c>
      <c r="D302" s="14" t="str">
        <f>IF(A302="","",UPPER(TRIM(Form_Raw_Data!D302)))</f>
        <v/>
      </c>
      <c r="E302" s="14" t="str">
        <f>IF(A302="","",TRIM(Form_Raw_Data!E302))</f>
        <v/>
      </c>
      <c r="F302" s="12" t="str">
        <f>IF(A302="","",IF(Form_Raw_Data!F302="","",Form_Raw_Data!F302&amp;""))</f>
        <v/>
      </c>
      <c r="G302" s="14" t="str">
        <f>IF(A302="","",IF(ISNUMBER(Form_Raw_Data!F302),IF(AND(Form_Raw_Data!F302&gt;=0,Form_Raw_Data!F302&lt;=24),Form_Raw_Data!F302,""),""))</f>
        <v/>
      </c>
      <c r="H302" s="14" t="str">
        <f>IF(A302="","",TRIM(Form_Raw_Data!G302))</f>
        <v/>
      </c>
      <c r="I302" s="15" t="str">
        <f t="shared" si="4"/>
        <v/>
      </c>
      <c r="J302" s="15" t="str">
        <f>IF(A302="","",IF(COUNTIF(Lists!$A$4:$A$53,C302)&gt;0,"YES","NO"))</f>
        <v/>
      </c>
      <c r="K302" s="15" t="str">
        <f>IF(A302="","",IF(COUNTIF(Lists!$I$4:$I$53,D302)&gt;0,"YES","NO"))</f>
        <v/>
      </c>
    </row>
    <row r="303" spans="1:11" x14ac:dyDescent="0.35">
      <c r="A303" s="12" t="str">
        <f>IF(Form_Raw_Data!A303="","",Form_Raw_Data!A303)</f>
        <v/>
      </c>
      <c r="B303" s="13" t="str">
        <f>IF(A303="","",Form_Raw_Data!B303)</f>
        <v/>
      </c>
      <c r="C303" s="14" t="str">
        <f>IF(A303="","",UPPER(TRIM(Form_Raw_Data!C303)))</f>
        <v/>
      </c>
      <c r="D303" s="14" t="str">
        <f>IF(A303="","",UPPER(TRIM(Form_Raw_Data!D303)))</f>
        <v/>
      </c>
      <c r="E303" s="14" t="str">
        <f>IF(A303="","",TRIM(Form_Raw_Data!E303))</f>
        <v/>
      </c>
      <c r="F303" s="12" t="str">
        <f>IF(A303="","",IF(Form_Raw_Data!F303="","",Form_Raw_Data!F303&amp;""))</f>
        <v/>
      </c>
      <c r="G303" s="14" t="str">
        <f>IF(A303="","",IF(ISNUMBER(Form_Raw_Data!F303),IF(AND(Form_Raw_Data!F303&gt;=0,Form_Raw_Data!F303&lt;=24),Form_Raw_Data!F303,""),""))</f>
        <v/>
      </c>
      <c r="H303" s="14" t="str">
        <f>IF(A303="","",TRIM(Form_Raw_Data!G303))</f>
        <v/>
      </c>
      <c r="I303" s="15" t="str">
        <f t="shared" si="4"/>
        <v/>
      </c>
      <c r="J303" s="15" t="str">
        <f>IF(A303="","",IF(COUNTIF(Lists!$A$4:$A$53,C303)&gt;0,"YES","NO"))</f>
        <v/>
      </c>
      <c r="K303" s="15" t="str">
        <f>IF(A303="","",IF(COUNTIF(Lists!$I$4:$I$53,D303)&gt;0,"YES","NO"))</f>
        <v/>
      </c>
    </row>
    <row r="304" spans="1:11" x14ac:dyDescent="0.35">
      <c r="A304" s="12" t="str">
        <f>IF(Form_Raw_Data!A304="","",Form_Raw_Data!A304)</f>
        <v/>
      </c>
      <c r="B304" s="13" t="str">
        <f>IF(A304="","",Form_Raw_Data!B304)</f>
        <v/>
      </c>
      <c r="C304" s="14" t="str">
        <f>IF(A304="","",UPPER(TRIM(Form_Raw_Data!C304)))</f>
        <v/>
      </c>
      <c r="D304" s="14" t="str">
        <f>IF(A304="","",UPPER(TRIM(Form_Raw_Data!D304)))</f>
        <v/>
      </c>
      <c r="E304" s="14" t="str">
        <f>IF(A304="","",TRIM(Form_Raw_Data!E304))</f>
        <v/>
      </c>
      <c r="F304" s="12" t="str">
        <f>IF(A304="","",IF(Form_Raw_Data!F304="","",Form_Raw_Data!F304&amp;""))</f>
        <v/>
      </c>
      <c r="G304" s="14" t="str">
        <f>IF(A304="","",IF(ISNUMBER(Form_Raw_Data!F304),IF(AND(Form_Raw_Data!F304&gt;=0,Form_Raw_Data!F304&lt;=24),Form_Raw_Data!F304,""),""))</f>
        <v/>
      </c>
      <c r="H304" s="14" t="str">
        <f>IF(A304="","",TRIM(Form_Raw_Data!G304))</f>
        <v/>
      </c>
      <c r="I304" s="15" t="str">
        <f t="shared" si="4"/>
        <v/>
      </c>
      <c r="J304" s="15" t="str">
        <f>IF(A304="","",IF(COUNTIF(Lists!$A$4:$A$53,C304)&gt;0,"YES","NO"))</f>
        <v/>
      </c>
      <c r="K304" s="15" t="str">
        <f>IF(A304="","",IF(COUNTIF(Lists!$I$4:$I$53,D304)&gt;0,"YES","NO"))</f>
        <v/>
      </c>
    </row>
    <row r="305" spans="1:11" x14ac:dyDescent="0.35">
      <c r="A305" s="12" t="str">
        <f>IF(Form_Raw_Data!A305="","",Form_Raw_Data!A305)</f>
        <v/>
      </c>
      <c r="B305" s="13" t="str">
        <f>IF(A305="","",Form_Raw_Data!B305)</f>
        <v/>
      </c>
      <c r="C305" s="14" t="str">
        <f>IF(A305="","",UPPER(TRIM(Form_Raw_Data!C305)))</f>
        <v/>
      </c>
      <c r="D305" s="14" t="str">
        <f>IF(A305="","",UPPER(TRIM(Form_Raw_Data!D305)))</f>
        <v/>
      </c>
      <c r="E305" s="14" t="str">
        <f>IF(A305="","",TRIM(Form_Raw_Data!E305))</f>
        <v/>
      </c>
      <c r="F305" s="12" t="str">
        <f>IF(A305="","",IF(Form_Raw_Data!F305="","",Form_Raw_Data!F305&amp;""))</f>
        <v/>
      </c>
      <c r="G305" s="14" t="str">
        <f>IF(A305="","",IF(ISNUMBER(Form_Raw_Data!F305),IF(AND(Form_Raw_Data!F305&gt;=0,Form_Raw_Data!F305&lt;=24),Form_Raw_Data!F305,""),""))</f>
        <v/>
      </c>
      <c r="H305" s="14" t="str">
        <f>IF(A305="","",TRIM(Form_Raw_Data!G305))</f>
        <v/>
      </c>
      <c r="I305" s="15" t="str">
        <f t="shared" si="4"/>
        <v/>
      </c>
      <c r="J305" s="15" t="str">
        <f>IF(A305="","",IF(COUNTIF(Lists!$A$4:$A$53,C305)&gt;0,"YES","NO"))</f>
        <v/>
      </c>
      <c r="K305" s="15" t="str">
        <f>IF(A305="","",IF(COUNTIF(Lists!$I$4:$I$53,D305)&gt;0,"YES","NO"))</f>
        <v/>
      </c>
    </row>
    <row r="306" spans="1:11" x14ac:dyDescent="0.35">
      <c r="A306" s="12" t="str">
        <f>IF(Form_Raw_Data!A306="","",Form_Raw_Data!A306)</f>
        <v/>
      </c>
      <c r="B306" s="13" t="str">
        <f>IF(A306="","",Form_Raw_Data!B306)</f>
        <v/>
      </c>
      <c r="C306" s="14" t="str">
        <f>IF(A306="","",UPPER(TRIM(Form_Raw_Data!C306)))</f>
        <v/>
      </c>
      <c r="D306" s="14" t="str">
        <f>IF(A306="","",UPPER(TRIM(Form_Raw_Data!D306)))</f>
        <v/>
      </c>
      <c r="E306" s="14" t="str">
        <f>IF(A306="","",TRIM(Form_Raw_Data!E306))</f>
        <v/>
      </c>
      <c r="F306" s="12" t="str">
        <f>IF(A306="","",IF(Form_Raw_Data!F306="","",Form_Raw_Data!F306&amp;""))</f>
        <v/>
      </c>
      <c r="G306" s="14" t="str">
        <f>IF(A306="","",IF(ISNUMBER(Form_Raw_Data!F306),IF(AND(Form_Raw_Data!F306&gt;=0,Form_Raw_Data!F306&lt;=24),Form_Raw_Data!F306,""),""))</f>
        <v/>
      </c>
      <c r="H306" s="14" t="str">
        <f>IF(A306="","",TRIM(Form_Raw_Data!G306))</f>
        <v/>
      </c>
      <c r="I306" s="15" t="str">
        <f t="shared" si="4"/>
        <v/>
      </c>
      <c r="J306" s="15" t="str">
        <f>IF(A306="","",IF(COUNTIF(Lists!$A$4:$A$53,C306)&gt;0,"YES","NO"))</f>
        <v/>
      </c>
      <c r="K306" s="15" t="str">
        <f>IF(A306="","",IF(COUNTIF(Lists!$I$4:$I$53,D306)&gt;0,"YES","NO"))</f>
        <v/>
      </c>
    </row>
    <row r="307" spans="1:11" x14ac:dyDescent="0.35">
      <c r="A307" s="12" t="str">
        <f>IF(Form_Raw_Data!A307="","",Form_Raw_Data!A307)</f>
        <v/>
      </c>
      <c r="B307" s="13" t="str">
        <f>IF(A307="","",Form_Raw_Data!B307)</f>
        <v/>
      </c>
      <c r="C307" s="14" t="str">
        <f>IF(A307="","",UPPER(TRIM(Form_Raw_Data!C307)))</f>
        <v/>
      </c>
      <c r="D307" s="14" t="str">
        <f>IF(A307="","",UPPER(TRIM(Form_Raw_Data!D307)))</f>
        <v/>
      </c>
      <c r="E307" s="14" t="str">
        <f>IF(A307="","",TRIM(Form_Raw_Data!E307))</f>
        <v/>
      </c>
      <c r="F307" s="12" t="str">
        <f>IF(A307="","",IF(Form_Raw_Data!F307="","",Form_Raw_Data!F307&amp;""))</f>
        <v/>
      </c>
      <c r="G307" s="14" t="str">
        <f>IF(A307="","",IF(ISNUMBER(Form_Raw_Data!F307),IF(AND(Form_Raw_Data!F307&gt;=0,Form_Raw_Data!F307&lt;=24),Form_Raw_Data!F307,""),""))</f>
        <v/>
      </c>
      <c r="H307" s="14" t="str">
        <f>IF(A307="","",TRIM(Form_Raw_Data!G307))</f>
        <v/>
      </c>
      <c r="I307" s="15" t="str">
        <f t="shared" si="4"/>
        <v/>
      </c>
      <c r="J307" s="15" t="str">
        <f>IF(A307="","",IF(COUNTIF(Lists!$A$4:$A$53,C307)&gt;0,"YES","NO"))</f>
        <v/>
      </c>
      <c r="K307" s="15" t="str">
        <f>IF(A307="","",IF(COUNTIF(Lists!$I$4:$I$53,D307)&gt;0,"YES","NO"))</f>
        <v/>
      </c>
    </row>
    <row r="308" spans="1:11" x14ac:dyDescent="0.35">
      <c r="A308" s="12" t="str">
        <f>IF(Form_Raw_Data!A308="","",Form_Raw_Data!A308)</f>
        <v/>
      </c>
      <c r="B308" s="13" t="str">
        <f>IF(A308="","",Form_Raw_Data!B308)</f>
        <v/>
      </c>
      <c r="C308" s="14" t="str">
        <f>IF(A308="","",UPPER(TRIM(Form_Raw_Data!C308)))</f>
        <v/>
      </c>
      <c r="D308" s="14" t="str">
        <f>IF(A308="","",UPPER(TRIM(Form_Raw_Data!D308)))</f>
        <v/>
      </c>
      <c r="E308" s="14" t="str">
        <f>IF(A308="","",TRIM(Form_Raw_Data!E308))</f>
        <v/>
      </c>
      <c r="F308" s="12" t="str">
        <f>IF(A308="","",IF(Form_Raw_Data!F308="","",Form_Raw_Data!F308&amp;""))</f>
        <v/>
      </c>
      <c r="G308" s="14" t="str">
        <f>IF(A308="","",IF(ISNUMBER(Form_Raw_Data!F308),IF(AND(Form_Raw_Data!F308&gt;=0,Form_Raw_Data!F308&lt;=24),Form_Raw_Data!F308,""),""))</f>
        <v/>
      </c>
      <c r="H308" s="14" t="str">
        <f>IF(A308="","",TRIM(Form_Raw_Data!G308))</f>
        <v/>
      </c>
      <c r="I308" s="15" t="str">
        <f t="shared" si="4"/>
        <v/>
      </c>
      <c r="J308" s="15" t="str">
        <f>IF(A308="","",IF(COUNTIF(Lists!$A$4:$A$53,C308)&gt;0,"YES","NO"))</f>
        <v/>
      </c>
      <c r="K308" s="15" t="str">
        <f>IF(A308="","",IF(COUNTIF(Lists!$I$4:$I$53,D308)&gt;0,"YES","NO"))</f>
        <v/>
      </c>
    </row>
    <row r="309" spans="1:11" x14ac:dyDescent="0.35">
      <c r="A309" s="12" t="str">
        <f>IF(Form_Raw_Data!A309="","",Form_Raw_Data!A309)</f>
        <v/>
      </c>
      <c r="B309" s="13" t="str">
        <f>IF(A309="","",Form_Raw_Data!B309)</f>
        <v/>
      </c>
      <c r="C309" s="14" t="str">
        <f>IF(A309="","",UPPER(TRIM(Form_Raw_Data!C309)))</f>
        <v/>
      </c>
      <c r="D309" s="14" t="str">
        <f>IF(A309="","",UPPER(TRIM(Form_Raw_Data!D309)))</f>
        <v/>
      </c>
      <c r="E309" s="14" t="str">
        <f>IF(A309="","",TRIM(Form_Raw_Data!E309))</f>
        <v/>
      </c>
      <c r="F309" s="12" t="str">
        <f>IF(A309="","",IF(Form_Raw_Data!F309="","",Form_Raw_Data!F309&amp;""))</f>
        <v/>
      </c>
      <c r="G309" s="14" t="str">
        <f>IF(A309="","",IF(ISNUMBER(Form_Raw_Data!F309),IF(AND(Form_Raw_Data!F309&gt;=0,Form_Raw_Data!F309&lt;=24),Form_Raw_Data!F309,""),""))</f>
        <v/>
      </c>
      <c r="H309" s="14" t="str">
        <f>IF(A309="","",TRIM(Form_Raw_Data!G309))</f>
        <v/>
      </c>
      <c r="I309" s="15" t="str">
        <f t="shared" si="4"/>
        <v/>
      </c>
      <c r="J309" s="15" t="str">
        <f>IF(A309="","",IF(COUNTIF(Lists!$A$4:$A$53,C309)&gt;0,"YES","NO"))</f>
        <v/>
      </c>
      <c r="K309" s="15" t="str">
        <f>IF(A309="","",IF(COUNTIF(Lists!$I$4:$I$53,D309)&gt;0,"YES","NO"))</f>
        <v/>
      </c>
    </row>
    <row r="310" spans="1:11" x14ac:dyDescent="0.35">
      <c r="A310" s="12" t="str">
        <f>IF(Form_Raw_Data!A310="","",Form_Raw_Data!A310)</f>
        <v/>
      </c>
      <c r="B310" s="13" t="str">
        <f>IF(A310="","",Form_Raw_Data!B310)</f>
        <v/>
      </c>
      <c r="C310" s="14" t="str">
        <f>IF(A310="","",UPPER(TRIM(Form_Raw_Data!C310)))</f>
        <v/>
      </c>
      <c r="D310" s="14" t="str">
        <f>IF(A310="","",UPPER(TRIM(Form_Raw_Data!D310)))</f>
        <v/>
      </c>
      <c r="E310" s="14" t="str">
        <f>IF(A310="","",TRIM(Form_Raw_Data!E310))</f>
        <v/>
      </c>
      <c r="F310" s="12" t="str">
        <f>IF(A310="","",IF(Form_Raw_Data!F310="","",Form_Raw_Data!F310&amp;""))</f>
        <v/>
      </c>
      <c r="G310" s="14" t="str">
        <f>IF(A310="","",IF(ISNUMBER(Form_Raw_Data!F310),IF(AND(Form_Raw_Data!F310&gt;=0,Form_Raw_Data!F310&lt;=24),Form_Raw_Data!F310,""),""))</f>
        <v/>
      </c>
      <c r="H310" s="14" t="str">
        <f>IF(A310="","",TRIM(Form_Raw_Data!G310))</f>
        <v/>
      </c>
      <c r="I310" s="15" t="str">
        <f t="shared" si="4"/>
        <v/>
      </c>
      <c r="J310" s="15" t="str">
        <f>IF(A310="","",IF(COUNTIF(Lists!$A$4:$A$53,C310)&gt;0,"YES","NO"))</f>
        <v/>
      </c>
      <c r="K310" s="15" t="str">
        <f>IF(A310="","",IF(COUNTIF(Lists!$I$4:$I$53,D310)&gt;0,"YES","NO"))</f>
        <v/>
      </c>
    </row>
    <row r="311" spans="1:11" x14ac:dyDescent="0.35">
      <c r="A311" s="12" t="str">
        <f>IF(Form_Raw_Data!A311="","",Form_Raw_Data!A311)</f>
        <v/>
      </c>
      <c r="B311" s="13" t="str">
        <f>IF(A311="","",Form_Raw_Data!B311)</f>
        <v/>
      </c>
      <c r="C311" s="14" t="str">
        <f>IF(A311="","",UPPER(TRIM(Form_Raw_Data!C311)))</f>
        <v/>
      </c>
      <c r="D311" s="14" t="str">
        <f>IF(A311="","",UPPER(TRIM(Form_Raw_Data!D311)))</f>
        <v/>
      </c>
      <c r="E311" s="14" t="str">
        <f>IF(A311="","",TRIM(Form_Raw_Data!E311))</f>
        <v/>
      </c>
      <c r="F311" s="12" t="str">
        <f>IF(A311="","",IF(Form_Raw_Data!F311="","",Form_Raw_Data!F311&amp;""))</f>
        <v/>
      </c>
      <c r="G311" s="14" t="str">
        <f>IF(A311="","",IF(ISNUMBER(Form_Raw_Data!F311),IF(AND(Form_Raw_Data!F311&gt;=0,Form_Raw_Data!F311&lt;=24),Form_Raw_Data!F311,""),""))</f>
        <v/>
      </c>
      <c r="H311" s="14" t="str">
        <f>IF(A311="","",TRIM(Form_Raw_Data!G311))</f>
        <v/>
      </c>
      <c r="I311" s="15" t="str">
        <f t="shared" si="4"/>
        <v/>
      </c>
      <c r="J311" s="15" t="str">
        <f>IF(A311="","",IF(COUNTIF(Lists!$A$4:$A$53,C311)&gt;0,"YES","NO"))</f>
        <v/>
      </c>
      <c r="K311" s="15" t="str">
        <f>IF(A311="","",IF(COUNTIF(Lists!$I$4:$I$53,D311)&gt;0,"YES","NO"))</f>
        <v/>
      </c>
    </row>
    <row r="312" spans="1:11" x14ac:dyDescent="0.35">
      <c r="A312" s="12" t="str">
        <f>IF(Form_Raw_Data!A312="","",Form_Raw_Data!A312)</f>
        <v/>
      </c>
      <c r="B312" s="13" t="str">
        <f>IF(A312="","",Form_Raw_Data!B312)</f>
        <v/>
      </c>
      <c r="C312" s="14" t="str">
        <f>IF(A312="","",UPPER(TRIM(Form_Raw_Data!C312)))</f>
        <v/>
      </c>
      <c r="D312" s="14" t="str">
        <f>IF(A312="","",UPPER(TRIM(Form_Raw_Data!D312)))</f>
        <v/>
      </c>
      <c r="E312" s="14" t="str">
        <f>IF(A312="","",TRIM(Form_Raw_Data!E312))</f>
        <v/>
      </c>
      <c r="F312" s="12" t="str">
        <f>IF(A312="","",IF(Form_Raw_Data!F312="","",Form_Raw_Data!F312&amp;""))</f>
        <v/>
      </c>
      <c r="G312" s="14" t="str">
        <f>IF(A312="","",IF(ISNUMBER(Form_Raw_Data!F312),IF(AND(Form_Raw_Data!F312&gt;=0,Form_Raw_Data!F312&lt;=24),Form_Raw_Data!F312,""),""))</f>
        <v/>
      </c>
      <c r="H312" s="14" t="str">
        <f>IF(A312="","",TRIM(Form_Raw_Data!G312))</f>
        <v/>
      </c>
      <c r="I312" s="15" t="str">
        <f t="shared" si="4"/>
        <v/>
      </c>
      <c r="J312" s="15" t="str">
        <f>IF(A312="","",IF(COUNTIF(Lists!$A$4:$A$53,C312)&gt;0,"YES","NO"))</f>
        <v/>
      </c>
      <c r="K312" s="15" t="str">
        <f>IF(A312="","",IF(COUNTIF(Lists!$I$4:$I$53,D312)&gt;0,"YES","NO"))</f>
        <v/>
      </c>
    </row>
    <row r="313" spans="1:11" x14ac:dyDescent="0.35">
      <c r="A313" s="12" t="str">
        <f>IF(Form_Raw_Data!A313="","",Form_Raw_Data!A313)</f>
        <v/>
      </c>
      <c r="B313" s="13" t="str">
        <f>IF(A313="","",Form_Raw_Data!B313)</f>
        <v/>
      </c>
      <c r="C313" s="14" t="str">
        <f>IF(A313="","",UPPER(TRIM(Form_Raw_Data!C313)))</f>
        <v/>
      </c>
      <c r="D313" s="14" t="str">
        <f>IF(A313="","",UPPER(TRIM(Form_Raw_Data!D313)))</f>
        <v/>
      </c>
      <c r="E313" s="14" t="str">
        <f>IF(A313="","",TRIM(Form_Raw_Data!E313))</f>
        <v/>
      </c>
      <c r="F313" s="12" t="str">
        <f>IF(A313="","",IF(Form_Raw_Data!F313="","",Form_Raw_Data!F313&amp;""))</f>
        <v/>
      </c>
      <c r="G313" s="14" t="str">
        <f>IF(A313="","",IF(ISNUMBER(Form_Raw_Data!F313),IF(AND(Form_Raw_Data!F313&gt;=0,Form_Raw_Data!F313&lt;=24),Form_Raw_Data!F313,""),""))</f>
        <v/>
      </c>
      <c r="H313" s="14" t="str">
        <f>IF(A313="","",TRIM(Form_Raw_Data!G313))</f>
        <v/>
      </c>
      <c r="I313" s="15" t="str">
        <f t="shared" si="4"/>
        <v/>
      </c>
      <c r="J313" s="15" t="str">
        <f>IF(A313="","",IF(COUNTIF(Lists!$A$4:$A$53,C313)&gt;0,"YES","NO"))</f>
        <v/>
      </c>
      <c r="K313" s="15" t="str">
        <f>IF(A313="","",IF(COUNTIF(Lists!$I$4:$I$53,D313)&gt;0,"YES","NO"))</f>
        <v/>
      </c>
    </row>
    <row r="314" spans="1:11" x14ac:dyDescent="0.35">
      <c r="A314" s="12" t="str">
        <f>IF(Form_Raw_Data!A314="","",Form_Raw_Data!A314)</f>
        <v/>
      </c>
      <c r="B314" s="13" t="str">
        <f>IF(A314="","",Form_Raw_Data!B314)</f>
        <v/>
      </c>
      <c r="C314" s="14" t="str">
        <f>IF(A314="","",UPPER(TRIM(Form_Raw_Data!C314)))</f>
        <v/>
      </c>
      <c r="D314" s="14" t="str">
        <f>IF(A314="","",UPPER(TRIM(Form_Raw_Data!D314)))</f>
        <v/>
      </c>
      <c r="E314" s="14" t="str">
        <f>IF(A314="","",TRIM(Form_Raw_Data!E314))</f>
        <v/>
      </c>
      <c r="F314" s="12" t="str">
        <f>IF(A314="","",IF(Form_Raw_Data!F314="","",Form_Raw_Data!F314&amp;""))</f>
        <v/>
      </c>
      <c r="G314" s="14" t="str">
        <f>IF(A314="","",IF(ISNUMBER(Form_Raw_Data!F314),IF(AND(Form_Raw_Data!F314&gt;=0,Form_Raw_Data!F314&lt;=24),Form_Raw_Data!F314,""),""))</f>
        <v/>
      </c>
      <c r="H314" s="14" t="str">
        <f>IF(A314="","",TRIM(Form_Raw_Data!G314))</f>
        <v/>
      </c>
      <c r="I314" s="15" t="str">
        <f t="shared" si="4"/>
        <v/>
      </c>
      <c r="J314" s="15" t="str">
        <f>IF(A314="","",IF(COUNTIF(Lists!$A$4:$A$53,C314)&gt;0,"YES","NO"))</f>
        <v/>
      </c>
      <c r="K314" s="15" t="str">
        <f>IF(A314="","",IF(COUNTIF(Lists!$I$4:$I$53,D314)&gt;0,"YES","NO"))</f>
        <v/>
      </c>
    </row>
    <row r="315" spans="1:11" x14ac:dyDescent="0.35">
      <c r="A315" s="12" t="str">
        <f>IF(Form_Raw_Data!A315="","",Form_Raw_Data!A315)</f>
        <v/>
      </c>
      <c r="B315" s="13" t="str">
        <f>IF(A315="","",Form_Raw_Data!B315)</f>
        <v/>
      </c>
      <c r="C315" s="14" t="str">
        <f>IF(A315="","",UPPER(TRIM(Form_Raw_Data!C315)))</f>
        <v/>
      </c>
      <c r="D315" s="14" t="str">
        <f>IF(A315="","",UPPER(TRIM(Form_Raw_Data!D315)))</f>
        <v/>
      </c>
      <c r="E315" s="14" t="str">
        <f>IF(A315="","",TRIM(Form_Raw_Data!E315))</f>
        <v/>
      </c>
      <c r="F315" s="12" t="str">
        <f>IF(A315="","",IF(Form_Raw_Data!F315="","",Form_Raw_Data!F315&amp;""))</f>
        <v/>
      </c>
      <c r="G315" s="14" t="str">
        <f>IF(A315="","",IF(ISNUMBER(Form_Raw_Data!F315),IF(AND(Form_Raw_Data!F315&gt;=0,Form_Raw_Data!F315&lt;=24),Form_Raw_Data!F315,""),""))</f>
        <v/>
      </c>
      <c r="H315" s="14" t="str">
        <f>IF(A315="","",TRIM(Form_Raw_Data!G315))</f>
        <v/>
      </c>
      <c r="I315" s="15" t="str">
        <f t="shared" si="4"/>
        <v/>
      </c>
      <c r="J315" s="15" t="str">
        <f>IF(A315="","",IF(COUNTIF(Lists!$A$4:$A$53,C315)&gt;0,"YES","NO"))</f>
        <v/>
      </c>
      <c r="K315" s="15" t="str">
        <f>IF(A315="","",IF(COUNTIF(Lists!$I$4:$I$53,D315)&gt;0,"YES","NO"))</f>
        <v/>
      </c>
    </row>
    <row r="316" spans="1:11" x14ac:dyDescent="0.35">
      <c r="A316" s="12" t="str">
        <f>IF(Form_Raw_Data!A316="","",Form_Raw_Data!A316)</f>
        <v/>
      </c>
      <c r="B316" s="13" t="str">
        <f>IF(A316="","",Form_Raw_Data!B316)</f>
        <v/>
      </c>
      <c r="C316" s="14" t="str">
        <f>IF(A316="","",UPPER(TRIM(Form_Raw_Data!C316)))</f>
        <v/>
      </c>
      <c r="D316" s="14" t="str">
        <f>IF(A316="","",UPPER(TRIM(Form_Raw_Data!D316)))</f>
        <v/>
      </c>
      <c r="E316" s="14" t="str">
        <f>IF(A316="","",TRIM(Form_Raw_Data!E316))</f>
        <v/>
      </c>
      <c r="F316" s="12" t="str">
        <f>IF(A316="","",IF(Form_Raw_Data!F316="","",Form_Raw_Data!F316&amp;""))</f>
        <v/>
      </c>
      <c r="G316" s="14" t="str">
        <f>IF(A316="","",IF(ISNUMBER(Form_Raw_Data!F316),IF(AND(Form_Raw_Data!F316&gt;=0,Form_Raw_Data!F316&lt;=24),Form_Raw_Data!F316,""),""))</f>
        <v/>
      </c>
      <c r="H316" s="14" t="str">
        <f>IF(A316="","",TRIM(Form_Raw_Data!G316))</f>
        <v/>
      </c>
      <c r="I316" s="15" t="str">
        <f t="shared" si="4"/>
        <v/>
      </c>
      <c r="J316" s="15" t="str">
        <f>IF(A316="","",IF(COUNTIF(Lists!$A$4:$A$53,C316)&gt;0,"YES","NO"))</f>
        <v/>
      </c>
      <c r="K316" s="15" t="str">
        <f>IF(A316="","",IF(COUNTIF(Lists!$I$4:$I$53,D316)&gt;0,"YES","NO"))</f>
        <v/>
      </c>
    </row>
    <row r="317" spans="1:11" x14ac:dyDescent="0.35">
      <c r="A317" s="12" t="str">
        <f>IF(Form_Raw_Data!A317="","",Form_Raw_Data!A317)</f>
        <v/>
      </c>
      <c r="B317" s="13" t="str">
        <f>IF(A317="","",Form_Raw_Data!B317)</f>
        <v/>
      </c>
      <c r="C317" s="14" t="str">
        <f>IF(A317="","",UPPER(TRIM(Form_Raw_Data!C317)))</f>
        <v/>
      </c>
      <c r="D317" s="14" t="str">
        <f>IF(A317="","",UPPER(TRIM(Form_Raw_Data!D317)))</f>
        <v/>
      </c>
      <c r="E317" s="14" t="str">
        <f>IF(A317="","",TRIM(Form_Raw_Data!E317))</f>
        <v/>
      </c>
      <c r="F317" s="12" t="str">
        <f>IF(A317="","",IF(Form_Raw_Data!F317="","",Form_Raw_Data!F317&amp;""))</f>
        <v/>
      </c>
      <c r="G317" s="14" t="str">
        <f>IF(A317="","",IF(ISNUMBER(Form_Raw_Data!F317),IF(AND(Form_Raw_Data!F317&gt;=0,Form_Raw_Data!F317&lt;=24),Form_Raw_Data!F317,""),""))</f>
        <v/>
      </c>
      <c r="H317" s="14" t="str">
        <f>IF(A317="","",TRIM(Form_Raw_Data!G317))</f>
        <v/>
      </c>
      <c r="I317" s="15" t="str">
        <f t="shared" si="4"/>
        <v/>
      </c>
      <c r="J317" s="15" t="str">
        <f>IF(A317="","",IF(COUNTIF(Lists!$A$4:$A$53,C317)&gt;0,"YES","NO"))</f>
        <v/>
      </c>
      <c r="K317" s="15" t="str">
        <f>IF(A317="","",IF(COUNTIF(Lists!$I$4:$I$53,D317)&gt;0,"YES","NO"))</f>
        <v/>
      </c>
    </row>
    <row r="318" spans="1:11" x14ac:dyDescent="0.35">
      <c r="A318" s="12" t="str">
        <f>IF(Form_Raw_Data!A318="","",Form_Raw_Data!A318)</f>
        <v/>
      </c>
      <c r="B318" s="13" t="str">
        <f>IF(A318="","",Form_Raw_Data!B318)</f>
        <v/>
      </c>
      <c r="C318" s="14" t="str">
        <f>IF(A318="","",UPPER(TRIM(Form_Raw_Data!C318)))</f>
        <v/>
      </c>
      <c r="D318" s="14" t="str">
        <f>IF(A318="","",UPPER(TRIM(Form_Raw_Data!D318)))</f>
        <v/>
      </c>
      <c r="E318" s="14" t="str">
        <f>IF(A318="","",TRIM(Form_Raw_Data!E318))</f>
        <v/>
      </c>
      <c r="F318" s="12" t="str">
        <f>IF(A318="","",IF(Form_Raw_Data!F318="","",Form_Raw_Data!F318&amp;""))</f>
        <v/>
      </c>
      <c r="G318" s="14" t="str">
        <f>IF(A318="","",IF(ISNUMBER(Form_Raw_Data!F318),IF(AND(Form_Raw_Data!F318&gt;=0,Form_Raw_Data!F318&lt;=24),Form_Raw_Data!F318,""),""))</f>
        <v/>
      </c>
      <c r="H318" s="14" t="str">
        <f>IF(A318="","",TRIM(Form_Raw_Data!G318))</f>
        <v/>
      </c>
      <c r="I318" s="15" t="str">
        <f t="shared" si="4"/>
        <v/>
      </c>
      <c r="J318" s="15" t="str">
        <f>IF(A318="","",IF(COUNTIF(Lists!$A$4:$A$53,C318)&gt;0,"YES","NO"))</f>
        <v/>
      </c>
      <c r="K318" s="15" t="str">
        <f>IF(A318="","",IF(COUNTIF(Lists!$I$4:$I$53,D318)&gt;0,"YES","NO"))</f>
        <v/>
      </c>
    </row>
    <row r="319" spans="1:11" x14ac:dyDescent="0.35">
      <c r="A319" s="12" t="str">
        <f>IF(Form_Raw_Data!A319="","",Form_Raw_Data!A319)</f>
        <v/>
      </c>
      <c r="B319" s="13" t="str">
        <f>IF(A319="","",Form_Raw_Data!B319)</f>
        <v/>
      </c>
      <c r="C319" s="14" t="str">
        <f>IF(A319="","",UPPER(TRIM(Form_Raw_Data!C319)))</f>
        <v/>
      </c>
      <c r="D319" s="14" t="str">
        <f>IF(A319="","",UPPER(TRIM(Form_Raw_Data!D319)))</f>
        <v/>
      </c>
      <c r="E319" s="14" t="str">
        <f>IF(A319="","",TRIM(Form_Raw_Data!E319))</f>
        <v/>
      </c>
      <c r="F319" s="12" t="str">
        <f>IF(A319="","",IF(Form_Raw_Data!F319="","",Form_Raw_Data!F319&amp;""))</f>
        <v/>
      </c>
      <c r="G319" s="14" t="str">
        <f>IF(A319="","",IF(ISNUMBER(Form_Raw_Data!F319),IF(AND(Form_Raw_Data!F319&gt;=0,Form_Raw_Data!F319&lt;=24),Form_Raw_Data!F319,""),""))</f>
        <v/>
      </c>
      <c r="H319" s="14" t="str">
        <f>IF(A319="","",TRIM(Form_Raw_Data!G319))</f>
        <v/>
      </c>
      <c r="I319" s="15" t="str">
        <f t="shared" si="4"/>
        <v/>
      </c>
      <c r="J319" s="15" t="str">
        <f>IF(A319="","",IF(COUNTIF(Lists!$A$4:$A$53,C319)&gt;0,"YES","NO"))</f>
        <v/>
      </c>
      <c r="K319" s="15" t="str">
        <f>IF(A319="","",IF(COUNTIF(Lists!$I$4:$I$53,D319)&gt;0,"YES","NO"))</f>
        <v/>
      </c>
    </row>
    <row r="320" spans="1:11" x14ac:dyDescent="0.35">
      <c r="A320" s="12" t="str">
        <f>IF(Form_Raw_Data!A320="","",Form_Raw_Data!A320)</f>
        <v/>
      </c>
      <c r="B320" s="13" t="str">
        <f>IF(A320="","",Form_Raw_Data!B320)</f>
        <v/>
      </c>
      <c r="C320" s="14" t="str">
        <f>IF(A320="","",UPPER(TRIM(Form_Raw_Data!C320)))</f>
        <v/>
      </c>
      <c r="D320" s="14" t="str">
        <f>IF(A320="","",UPPER(TRIM(Form_Raw_Data!D320)))</f>
        <v/>
      </c>
      <c r="E320" s="14" t="str">
        <f>IF(A320="","",TRIM(Form_Raw_Data!E320))</f>
        <v/>
      </c>
      <c r="F320" s="12" t="str">
        <f>IF(A320="","",IF(Form_Raw_Data!F320="","",Form_Raw_Data!F320&amp;""))</f>
        <v/>
      </c>
      <c r="G320" s="14" t="str">
        <f>IF(A320="","",IF(ISNUMBER(Form_Raw_Data!F320),IF(AND(Form_Raw_Data!F320&gt;=0,Form_Raw_Data!F320&lt;=24),Form_Raw_Data!F320,""),""))</f>
        <v/>
      </c>
      <c r="H320" s="14" t="str">
        <f>IF(A320="","",TRIM(Form_Raw_Data!G320))</f>
        <v/>
      </c>
      <c r="I320" s="15" t="str">
        <f t="shared" si="4"/>
        <v/>
      </c>
      <c r="J320" s="15" t="str">
        <f>IF(A320="","",IF(COUNTIF(Lists!$A$4:$A$53,C320)&gt;0,"YES","NO"))</f>
        <v/>
      </c>
      <c r="K320" s="15" t="str">
        <f>IF(A320="","",IF(COUNTIF(Lists!$I$4:$I$53,D320)&gt;0,"YES","NO"))</f>
        <v/>
      </c>
    </row>
    <row r="321" spans="1:11" x14ac:dyDescent="0.35">
      <c r="A321" s="12" t="str">
        <f>IF(Form_Raw_Data!A321="","",Form_Raw_Data!A321)</f>
        <v/>
      </c>
      <c r="B321" s="13" t="str">
        <f>IF(A321="","",Form_Raw_Data!B321)</f>
        <v/>
      </c>
      <c r="C321" s="14" t="str">
        <f>IF(A321="","",UPPER(TRIM(Form_Raw_Data!C321)))</f>
        <v/>
      </c>
      <c r="D321" s="14" t="str">
        <f>IF(A321="","",UPPER(TRIM(Form_Raw_Data!D321)))</f>
        <v/>
      </c>
      <c r="E321" s="14" t="str">
        <f>IF(A321="","",TRIM(Form_Raw_Data!E321))</f>
        <v/>
      </c>
      <c r="F321" s="12" t="str">
        <f>IF(A321="","",IF(Form_Raw_Data!F321="","",Form_Raw_Data!F321&amp;""))</f>
        <v/>
      </c>
      <c r="G321" s="14" t="str">
        <f>IF(A321="","",IF(ISNUMBER(Form_Raw_Data!F321),IF(AND(Form_Raw_Data!F321&gt;=0,Form_Raw_Data!F321&lt;=24),Form_Raw_Data!F321,""),""))</f>
        <v/>
      </c>
      <c r="H321" s="14" t="str">
        <f>IF(A321="","",TRIM(Form_Raw_Data!G321))</f>
        <v/>
      </c>
      <c r="I321" s="15" t="str">
        <f t="shared" si="4"/>
        <v/>
      </c>
      <c r="J321" s="15" t="str">
        <f>IF(A321="","",IF(COUNTIF(Lists!$A$4:$A$53,C321)&gt;0,"YES","NO"))</f>
        <v/>
      </c>
      <c r="K321" s="15" t="str">
        <f>IF(A321="","",IF(COUNTIF(Lists!$I$4:$I$53,D321)&gt;0,"YES","NO"))</f>
        <v/>
      </c>
    </row>
    <row r="322" spans="1:11" x14ac:dyDescent="0.35">
      <c r="A322" s="12" t="str">
        <f>IF(Form_Raw_Data!A322="","",Form_Raw_Data!A322)</f>
        <v/>
      </c>
      <c r="B322" s="13" t="str">
        <f>IF(A322="","",Form_Raw_Data!B322)</f>
        <v/>
      </c>
      <c r="C322" s="14" t="str">
        <f>IF(A322="","",UPPER(TRIM(Form_Raw_Data!C322)))</f>
        <v/>
      </c>
      <c r="D322" s="14" t="str">
        <f>IF(A322="","",UPPER(TRIM(Form_Raw_Data!D322)))</f>
        <v/>
      </c>
      <c r="E322" s="14" t="str">
        <f>IF(A322="","",TRIM(Form_Raw_Data!E322))</f>
        <v/>
      </c>
      <c r="F322" s="12" t="str">
        <f>IF(A322="","",IF(Form_Raw_Data!F322="","",Form_Raw_Data!F322&amp;""))</f>
        <v/>
      </c>
      <c r="G322" s="14" t="str">
        <f>IF(A322="","",IF(ISNUMBER(Form_Raw_Data!F322),IF(AND(Form_Raw_Data!F322&gt;=0,Form_Raw_Data!F322&lt;=24),Form_Raw_Data!F322,""),""))</f>
        <v/>
      </c>
      <c r="H322" s="14" t="str">
        <f>IF(A322="","",TRIM(Form_Raw_Data!G322))</f>
        <v/>
      </c>
      <c r="I322" s="15" t="str">
        <f t="shared" si="4"/>
        <v/>
      </c>
      <c r="J322" s="15" t="str">
        <f>IF(A322="","",IF(COUNTIF(Lists!$A$4:$A$53,C322)&gt;0,"YES","NO"))</f>
        <v/>
      </c>
      <c r="K322" s="15" t="str">
        <f>IF(A322="","",IF(COUNTIF(Lists!$I$4:$I$53,D322)&gt;0,"YES","NO"))</f>
        <v/>
      </c>
    </row>
    <row r="323" spans="1:11" x14ac:dyDescent="0.35">
      <c r="A323" s="12" t="str">
        <f>IF(Form_Raw_Data!A323="","",Form_Raw_Data!A323)</f>
        <v/>
      </c>
      <c r="B323" s="13" t="str">
        <f>IF(A323="","",Form_Raw_Data!B323)</f>
        <v/>
      </c>
      <c r="C323" s="14" t="str">
        <f>IF(A323="","",UPPER(TRIM(Form_Raw_Data!C323)))</f>
        <v/>
      </c>
      <c r="D323" s="14" t="str">
        <f>IF(A323="","",UPPER(TRIM(Form_Raw_Data!D323)))</f>
        <v/>
      </c>
      <c r="E323" s="14" t="str">
        <f>IF(A323="","",TRIM(Form_Raw_Data!E323))</f>
        <v/>
      </c>
      <c r="F323" s="12" t="str">
        <f>IF(A323="","",IF(Form_Raw_Data!F323="","",Form_Raw_Data!F323&amp;""))</f>
        <v/>
      </c>
      <c r="G323" s="14" t="str">
        <f>IF(A323="","",IF(ISNUMBER(Form_Raw_Data!F323),IF(AND(Form_Raw_Data!F323&gt;=0,Form_Raw_Data!F323&lt;=24),Form_Raw_Data!F323,""),""))</f>
        <v/>
      </c>
      <c r="H323" s="14" t="str">
        <f>IF(A323="","",TRIM(Form_Raw_Data!G323))</f>
        <v/>
      </c>
      <c r="I323" s="15" t="str">
        <f t="shared" si="4"/>
        <v/>
      </c>
      <c r="J323" s="15" t="str">
        <f>IF(A323="","",IF(COUNTIF(Lists!$A$4:$A$53,C323)&gt;0,"YES","NO"))</f>
        <v/>
      </c>
      <c r="K323" s="15" t="str">
        <f>IF(A323="","",IF(COUNTIF(Lists!$I$4:$I$53,D323)&gt;0,"YES","NO"))</f>
        <v/>
      </c>
    </row>
    <row r="324" spans="1:11" x14ac:dyDescent="0.35">
      <c r="A324" s="12" t="str">
        <f>IF(Form_Raw_Data!A324="","",Form_Raw_Data!A324)</f>
        <v/>
      </c>
      <c r="B324" s="13" t="str">
        <f>IF(A324="","",Form_Raw_Data!B324)</f>
        <v/>
      </c>
      <c r="C324" s="14" t="str">
        <f>IF(A324="","",UPPER(TRIM(Form_Raw_Data!C324)))</f>
        <v/>
      </c>
      <c r="D324" s="14" t="str">
        <f>IF(A324="","",UPPER(TRIM(Form_Raw_Data!D324)))</f>
        <v/>
      </c>
      <c r="E324" s="14" t="str">
        <f>IF(A324="","",TRIM(Form_Raw_Data!E324))</f>
        <v/>
      </c>
      <c r="F324" s="12" t="str">
        <f>IF(A324="","",IF(Form_Raw_Data!F324="","",Form_Raw_Data!F324&amp;""))</f>
        <v/>
      </c>
      <c r="G324" s="14" t="str">
        <f>IF(A324="","",IF(ISNUMBER(Form_Raw_Data!F324),IF(AND(Form_Raw_Data!F324&gt;=0,Form_Raw_Data!F324&lt;=24),Form_Raw_Data!F324,""),""))</f>
        <v/>
      </c>
      <c r="H324" s="14" t="str">
        <f>IF(A324="","",TRIM(Form_Raw_Data!G324))</f>
        <v/>
      </c>
      <c r="I324" s="15" t="str">
        <f t="shared" ref="I324:I387" si="5">IF(A324="","",IF(OR(C324="",D324="",E324="",H324="",G324=""),"ERROR","OK"))</f>
        <v/>
      </c>
      <c r="J324" s="15" t="str">
        <f>IF(A324="","",IF(COUNTIF(Lists!$A$4:$A$53,C324)&gt;0,"YES","NO"))</f>
        <v/>
      </c>
      <c r="K324" s="15" t="str">
        <f>IF(A324="","",IF(COUNTIF(Lists!$I$4:$I$53,D324)&gt;0,"YES","NO"))</f>
        <v/>
      </c>
    </row>
    <row r="325" spans="1:11" x14ac:dyDescent="0.35">
      <c r="A325" s="12" t="str">
        <f>IF(Form_Raw_Data!A325="","",Form_Raw_Data!A325)</f>
        <v/>
      </c>
      <c r="B325" s="13" t="str">
        <f>IF(A325="","",Form_Raw_Data!B325)</f>
        <v/>
      </c>
      <c r="C325" s="14" t="str">
        <f>IF(A325="","",UPPER(TRIM(Form_Raw_Data!C325)))</f>
        <v/>
      </c>
      <c r="D325" s="14" t="str">
        <f>IF(A325="","",UPPER(TRIM(Form_Raw_Data!D325)))</f>
        <v/>
      </c>
      <c r="E325" s="14" t="str">
        <f>IF(A325="","",TRIM(Form_Raw_Data!E325))</f>
        <v/>
      </c>
      <c r="F325" s="12" t="str">
        <f>IF(A325="","",IF(Form_Raw_Data!F325="","",Form_Raw_Data!F325&amp;""))</f>
        <v/>
      </c>
      <c r="G325" s="14" t="str">
        <f>IF(A325="","",IF(ISNUMBER(Form_Raw_Data!F325),IF(AND(Form_Raw_Data!F325&gt;=0,Form_Raw_Data!F325&lt;=24),Form_Raw_Data!F325,""),""))</f>
        <v/>
      </c>
      <c r="H325" s="14" t="str">
        <f>IF(A325="","",TRIM(Form_Raw_Data!G325))</f>
        <v/>
      </c>
      <c r="I325" s="15" t="str">
        <f t="shared" si="5"/>
        <v/>
      </c>
      <c r="J325" s="15" t="str">
        <f>IF(A325="","",IF(COUNTIF(Lists!$A$4:$A$53,C325)&gt;0,"YES","NO"))</f>
        <v/>
      </c>
      <c r="K325" s="15" t="str">
        <f>IF(A325="","",IF(COUNTIF(Lists!$I$4:$I$53,D325)&gt;0,"YES","NO"))</f>
        <v/>
      </c>
    </row>
    <row r="326" spans="1:11" x14ac:dyDescent="0.35">
      <c r="A326" s="12" t="str">
        <f>IF(Form_Raw_Data!A326="","",Form_Raw_Data!A326)</f>
        <v/>
      </c>
      <c r="B326" s="13" t="str">
        <f>IF(A326="","",Form_Raw_Data!B326)</f>
        <v/>
      </c>
      <c r="C326" s="14" t="str">
        <f>IF(A326="","",UPPER(TRIM(Form_Raw_Data!C326)))</f>
        <v/>
      </c>
      <c r="D326" s="14" t="str">
        <f>IF(A326="","",UPPER(TRIM(Form_Raw_Data!D326)))</f>
        <v/>
      </c>
      <c r="E326" s="14" t="str">
        <f>IF(A326="","",TRIM(Form_Raw_Data!E326))</f>
        <v/>
      </c>
      <c r="F326" s="12" t="str">
        <f>IF(A326="","",IF(Form_Raw_Data!F326="","",Form_Raw_Data!F326&amp;""))</f>
        <v/>
      </c>
      <c r="G326" s="14" t="str">
        <f>IF(A326="","",IF(ISNUMBER(Form_Raw_Data!F326),IF(AND(Form_Raw_Data!F326&gt;=0,Form_Raw_Data!F326&lt;=24),Form_Raw_Data!F326,""),""))</f>
        <v/>
      </c>
      <c r="H326" s="14" t="str">
        <f>IF(A326="","",TRIM(Form_Raw_Data!G326))</f>
        <v/>
      </c>
      <c r="I326" s="15" t="str">
        <f t="shared" si="5"/>
        <v/>
      </c>
      <c r="J326" s="15" t="str">
        <f>IF(A326="","",IF(COUNTIF(Lists!$A$4:$A$53,C326)&gt;0,"YES","NO"))</f>
        <v/>
      </c>
      <c r="K326" s="15" t="str">
        <f>IF(A326="","",IF(COUNTIF(Lists!$I$4:$I$53,D326)&gt;0,"YES","NO"))</f>
        <v/>
      </c>
    </row>
    <row r="327" spans="1:11" x14ac:dyDescent="0.35">
      <c r="A327" s="12" t="str">
        <f>IF(Form_Raw_Data!A327="","",Form_Raw_Data!A327)</f>
        <v/>
      </c>
      <c r="B327" s="13" t="str">
        <f>IF(A327="","",Form_Raw_Data!B327)</f>
        <v/>
      </c>
      <c r="C327" s="14" t="str">
        <f>IF(A327="","",UPPER(TRIM(Form_Raw_Data!C327)))</f>
        <v/>
      </c>
      <c r="D327" s="14" t="str">
        <f>IF(A327="","",UPPER(TRIM(Form_Raw_Data!D327)))</f>
        <v/>
      </c>
      <c r="E327" s="14" t="str">
        <f>IF(A327="","",TRIM(Form_Raw_Data!E327))</f>
        <v/>
      </c>
      <c r="F327" s="12" t="str">
        <f>IF(A327="","",IF(Form_Raw_Data!F327="","",Form_Raw_Data!F327&amp;""))</f>
        <v/>
      </c>
      <c r="G327" s="14" t="str">
        <f>IF(A327="","",IF(ISNUMBER(Form_Raw_Data!F327),IF(AND(Form_Raw_Data!F327&gt;=0,Form_Raw_Data!F327&lt;=24),Form_Raw_Data!F327,""),""))</f>
        <v/>
      </c>
      <c r="H327" s="14" t="str">
        <f>IF(A327="","",TRIM(Form_Raw_Data!G327))</f>
        <v/>
      </c>
      <c r="I327" s="15" t="str">
        <f t="shared" si="5"/>
        <v/>
      </c>
      <c r="J327" s="15" t="str">
        <f>IF(A327="","",IF(COUNTIF(Lists!$A$4:$A$53,C327)&gt;0,"YES","NO"))</f>
        <v/>
      </c>
      <c r="K327" s="15" t="str">
        <f>IF(A327="","",IF(COUNTIF(Lists!$I$4:$I$53,D327)&gt;0,"YES","NO"))</f>
        <v/>
      </c>
    </row>
    <row r="328" spans="1:11" x14ac:dyDescent="0.35">
      <c r="A328" s="12" t="str">
        <f>IF(Form_Raw_Data!A328="","",Form_Raw_Data!A328)</f>
        <v/>
      </c>
      <c r="B328" s="13" t="str">
        <f>IF(A328="","",Form_Raw_Data!B328)</f>
        <v/>
      </c>
      <c r="C328" s="14" t="str">
        <f>IF(A328="","",UPPER(TRIM(Form_Raw_Data!C328)))</f>
        <v/>
      </c>
      <c r="D328" s="14" t="str">
        <f>IF(A328="","",UPPER(TRIM(Form_Raw_Data!D328)))</f>
        <v/>
      </c>
      <c r="E328" s="14" t="str">
        <f>IF(A328="","",TRIM(Form_Raw_Data!E328))</f>
        <v/>
      </c>
      <c r="F328" s="12" t="str">
        <f>IF(A328="","",IF(Form_Raw_Data!F328="","",Form_Raw_Data!F328&amp;""))</f>
        <v/>
      </c>
      <c r="G328" s="14" t="str">
        <f>IF(A328="","",IF(ISNUMBER(Form_Raw_Data!F328),IF(AND(Form_Raw_Data!F328&gt;=0,Form_Raw_Data!F328&lt;=24),Form_Raw_Data!F328,""),""))</f>
        <v/>
      </c>
      <c r="H328" s="14" t="str">
        <f>IF(A328="","",TRIM(Form_Raw_Data!G328))</f>
        <v/>
      </c>
      <c r="I328" s="15" t="str">
        <f t="shared" si="5"/>
        <v/>
      </c>
      <c r="J328" s="15" t="str">
        <f>IF(A328="","",IF(COUNTIF(Lists!$A$4:$A$53,C328)&gt;0,"YES","NO"))</f>
        <v/>
      </c>
      <c r="K328" s="15" t="str">
        <f>IF(A328="","",IF(COUNTIF(Lists!$I$4:$I$53,D328)&gt;0,"YES","NO"))</f>
        <v/>
      </c>
    </row>
    <row r="329" spans="1:11" x14ac:dyDescent="0.35">
      <c r="A329" s="12" t="str">
        <f>IF(Form_Raw_Data!A329="","",Form_Raw_Data!A329)</f>
        <v/>
      </c>
      <c r="B329" s="13" t="str">
        <f>IF(A329="","",Form_Raw_Data!B329)</f>
        <v/>
      </c>
      <c r="C329" s="14" t="str">
        <f>IF(A329="","",UPPER(TRIM(Form_Raw_Data!C329)))</f>
        <v/>
      </c>
      <c r="D329" s="14" t="str">
        <f>IF(A329="","",UPPER(TRIM(Form_Raw_Data!D329)))</f>
        <v/>
      </c>
      <c r="E329" s="14" t="str">
        <f>IF(A329="","",TRIM(Form_Raw_Data!E329))</f>
        <v/>
      </c>
      <c r="F329" s="12" t="str">
        <f>IF(A329="","",IF(Form_Raw_Data!F329="","",Form_Raw_Data!F329&amp;""))</f>
        <v/>
      </c>
      <c r="G329" s="14" t="str">
        <f>IF(A329="","",IF(ISNUMBER(Form_Raw_Data!F329),IF(AND(Form_Raw_Data!F329&gt;=0,Form_Raw_Data!F329&lt;=24),Form_Raw_Data!F329,""),""))</f>
        <v/>
      </c>
      <c r="H329" s="14" t="str">
        <f>IF(A329="","",TRIM(Form_Raw_Data!G329))</f>
        <v/>
      </c>
      <c r="I329" s="15" t="str">
        <f t="shared" si="5"/>
        <v/>
      </c>
      <c r="J329" s="15" t="str">
        <f>IF(A329="","",IF(COUNTIF(Lists!$A$4:$A$53,C329)&gt;0,"YES","NO"))</f>
        <v/>
      </c>
      <c r="K329" s="15" t="str">
        <f>IF(A329="","",IF(COUNTIF(Lists!$I$4:$I$53,D329)&gt;0,"YES","NO"))</f>
        <v/>
      </c>
    </row>
    <row r="330" spans="1:11" x14ac:dyDescent="0.35">
      <c r="A330" s="12" t="str">
        <f>IF(Form_Raw_Data!A330="","",Form_Raw_Data!A330)</f>
        <v/>
      </c>
      <c r="B330" s="13" t="str">
        <f>IF(A330="","",Form_Raw_Data!B330)</f>
        <v/>
      </c>
      <c r="C330" s="14" t="str">
        <f>IF(A330="","",UPPER(TRIM(Form_Raw_Data!C330)))</f>
        <v/>
      </c>
      <c r="D330" s="14" t="str">
        <f>IF(A330="","",UPPER(TRIM(Form_Raw_Data!D330)))</f>
        <v/>
      </c>
      <c r="E330" s="14" t="str">
        <f>IF(A330="","",TRIM(Form_Raw_Data!E330))</f>
        <v/>
      </c>
      <c r="F330" s="12" t="str">
        <f>IF(A330="","",IF(Form_Raw_Data!F330="","",Form_Raw_Data!F330&amp;""))</f>
        <v/>
      </c>
      <c r="G330" s="14" t="str">
        <f>IF(A330="","",IF(ISNUMBER(Form_Raw_Data!F330),IF(AND(Form_Raw_Data!F330&gt;=0,Form_Raw_Data!F330&lt;=24),Form_Raw_Data!F330,""),""))</f>
        <v/>
      </c>
      <c r="H330" s="14" t="str">
        <f>IF(A330="","",TRIM(Form_Raw_Data!G330))</f>
        <v/>
      </c>
      <c r="I330" s="15" t="str">
        <f t="shared" si="5"/>
        <v/>
      </c>
      <c r="J330" s="15" t="str">
        <f>IF(A330="","",IF(COUNTIF(Lists!$A$4:$A$53,C330)&gt;0,"YES","NO"))</f>
        <v/>
      </c>
      <c r="K330" s="15" t="str">
        <f>IF(A330="","",IF(COUNTIF(Lists!$I$4:$I$53,D330)&gt;0,"YES","NO"))</f>
        <v/>
      </c>
    </row>
    <row r="331" spans="1:11" x14ac:dyDescent="0.35">
      <c r="A331" s="12" t="str">
        <f>IF(Form_Raw_Data!A331="","",Form_Raw_Data!A331)</f>
        <v/>
      </c>
      <c r="B331" s="13" t="str">
        <f>IF(A331="","",Form_Raw_Data!B331)</f>
        <v/>
      </c>
      <c r="C331" s="14" t="str">
        <f>IF(A331="","",UPPER(TRIM(Form_Raw_Data!C331)))</f>
        <v/>
      </c>
      <c r="D331" s="14" t="str">
        <f>IF(A331="","",UPPER(TRIM(Form_Raw_Data!D331)))</f>
        <v/>
      </c>
      <c r="E331" s="14" t="str">
        <f>IF(A331="","",TRIM(Form_Raw_Data!E331))</f>
        <v/>
      </c>
      <c r="F331" s="12" t="str">
        <f>IF(A331="","",IF(Form_Raw_Data!F331="","",Form_Raw_Data!F331&amp;""))</f>
        <v/>
      </c>
      <c r="G331" s="14" t="str">
        <f>IF(A331="","",IF(ISNUMBER(Form_Raw_Data!F331),IF(AND(Form_Raw_Data!F331&gt;=0,Form_Raw_Data!F331&lt;=24),Form_Raw_Data!F331,""),""))</f>
        <v/>
      </c>
      <c r="H331" s="14" t="str">
        <f>IF(A331="","",TRIM(Form_Raw_Data!G331))</f>
        <v/>
      </c>
      <c r="I331" s="15" t="str">
        <f t="shared" si="5"/>
        <v/>
      </c>
      <c r="J331" s="15" t="str">
        <f>IF(A331="","",IF(COUNTIF(Lists!$A$4:$A$53,C331)&gt;0,"YES","NO"))</f>
        <v/>
      </c>
      <c r="K331" s="15" t="str">
        <f>IF(A331="","",IF(COUNTIF(Lists!$I$4:$I$53,D331)&gt;0,"YES","NO"))</f>
        <v/>
      </c>
    </row>
    <row r="332" spans="1:11" x14ac:dyDescent="0.35">
      <c r="A332" s="12" t="str">
        <f>IF(Form_Raw_Data!A332="","",Form_Raw_Data!A332)</f>
        <v/>
      </c>
      <c r="B332" s="13" t="str">
        <f>IF(A332="","",Form_Raw_Data!B332)</f>
        <v/>
      </c>
      <c r="C332" s="14" t="str">
        <f>IF(A332="","",UPPER(TRIM(Form_Raw_Data!C332)))</f>
        <v/>
      </c>
      <c r="D332" s="14" t="str">
        <f>IF(A332="","",UPPER(TRIM(Form_Raw_Data!D332)))</f>
        <v/>
      </c>
      <c r="E332" s="14" t="str">
        <f>IF(A332="","",TRIM(Form_Raw_Data!E332))</f>
        <v/>
      </c>
      <c r="F332" s="12" t="str">
        <f>IF(A332="","",IF(Form_Raw_Data!F332="","",Form_Raw_Data!F332&amp;""))</f>
        <v/>
      </c>
      <c r="G332" s="14" t="str">
        <f>IF(A332="","",IF(ISNUMBER(Form_Raw_Data!F332),IF(AND(Form_Raw_Data!F332&gt;=0,Form_Raw_Data!F332&lt;=24),Form_Raw_Data!F332,""),""))</f>
        <v/>
      </c>
      <c r="H332" s="14" t="str">
        <f>IF(A332="","",TRIM(Form_Raw_Data!G332))</f>
        <v/>
      </c>
      <c r="I332" s="15" t="str">
        <f t="shared" si="5"/>
        <v/>
      </c>
      <c r="J332" s="15" t="str">
        <f>IF(A332="","",IF(COUNTIF(Lists!$A$4:$A$53,C332)&gt;0,"YES","NO"))</f>
        <v/>
      </c>
      <c r="K332" s="15" t="str">
        <f>IF(A332="","",IF(COUNTIF(Lists!$I$4:$I$53,D332)&gt;0,"YES","NO"))</f>
        <v/>
      </c>
    </row>
    <row r="333" spans="1:11" x14ac:dyDescent="0.35">
      <c r="A333" s="12" t="str">
        <f>IF(Form_Raw_Data!A333="","",Form_Raw_Data!A333)</f>
        <v/>
      </c>
      <c r="B333" s="13" t="str">
        <f>IF(A333="","",Form_Raw_Data!B333)</f>
        <v/>
      </c>
      <c r="C333" s="14" t="str">
        <f>IF(A333="","",UPPER(TRIM(Form_Raw_Data!C333)))</f>
        <v/>
      </c>
      <c r="D333" s="14" t="str">
        <f>IF(A333="","",UPPER(TRIM(Form_Raw_Data!D333)))</f>
        <v/>
      </c>
      <c r="E333" s="14" t="str">
        <f>IF(A333="","",TRIM(Form_Raw_Data!E333))</f>
        <v/>
      </c>
      <c r="F333" s="12" t="str">
        <f>IF(A333="","",IF(Form_Raw_Data!F333="","",Form_Raw_Data!F333&amp;""))</f>
        <v/>
      </c>
      <c r="G333" s="14" t="str">
        <f>IF(A333="","",IF(ISNUMBER(Form_Raw_Data!F333),IF(AND(Form_Raw_Data!F333&gt;=0,Form_Raw_Data!F333&lt;=24),Form_Raw_Data!F333,""),""))</f>
        <v/>
      </c>
      <c r="H333" s="14" t="str">
        <f>IF(A333="","",TRIM(Form_Raw_Data!G333))</f>
        <v/>
      </c>
      <c r="I333" s="15" t="str">
        <f t="shared" si="5"/>
        <v/>
      </c>
      <c r="J333" s="15" t="str">
        <f>IF(A333="","",IF(COUNTIF(Lists!$A$4:$A$53,C333)&gt;0,"YES","NO"))</f>
        <v/>
      </c>
      <c r="K333" s="15" t="str">
        <f>IF(A333="","",IF(COUNTIF(Lists!$I$4:$I$53,D333)&gt;0,"YES","NO"))</f>
        <v/>
      </c>
    </row>
    <row r="334" spans="1:11" x14ac:dyDescent="0.35">
      <c r="A334" s="12" t="str">
        <f>IF(Form_Raw_Data!A334="","",Form_Raw_Data!A334)</f>
        <v/>
      </c>
      <c r="B334" s="13" t="str">
        <f>IF(A334="","",Form_Raw_Data!B334)</f>
        <v/>
      </c>
      <c r="C334" s="14" t="str">
        <f>IF(A334="","",UPPER(TRIM(Form_Raw_Data!C334)))</f>
        <v/>
      </c>
      <c r="D334" s="14" t="str">
        <f>IF(A334="","",UPPER(TRIM(Form_Raw_Data!D334)))</f>
        <v/>
      </c>
      <c r="E334" s="14" t="str">
        <f>IF(A334="","",TRIM(Form_Raw_Data!E334))</f>
        <v/>
      </c>
      <c r="F334" s="12" t="str">
        <f>IF(A334="","",IF(Form_Raw_Data!F334="","",Form_Raw_Data!F334&amp;""))</f>
        <v/>
      </c>
      <c r="G334" s="14" t="str">
        <f>IF(A334="","",IF(ISNUMBER(Form_Raw_Data!F334),IF(AND(Form_Raw_Data!F334&gt;=0,Form_Raw_Data!F334&lt;=24),Form_Raw_Data!F334,""),""))</f>
        <v/>
      </c>
      <c r="H334" s="14" t="str">
        <f>IF(A334="","",TRIM(Form_Raw_Data!G334))</f>
        <v/>
      </c>
      <c r="I334" s="15" t="str">
        <f t="shared" si="5"/>
        <v/>
      </c>
      <c r="J334" s="15" t="str">
        <f>IF(A334="","",IF(COUNTIF(Lists!$A$4:$A$53,C334)&gt;0,"YES","NO"))</f>
        <v/>
      </c>
      <c r="K334" s="15" t="str">
        <f>IF(A334="","",IF(COUNTIF(Lists!$I$4:$I$53,D334)&gt;0,"YES","NO"))</f>
        <v/>
      </c>
    </row>
    <row r="335" spans="1:11" x14ac:dyDescent="0.35">
      <c r="A335" s="12" t="str">
        <f>IF(Form_Raw_Data!A335="","",Form_Raw_Data!A335)</f>
        <v/>
      </c>
      <c r="B335" s="13" t="str">
        <f>IF(A335="","",Form_Raw_Data!B335)</f>
        <v/>
      </c>
      <c r="C335" s="14" t="str">
        <f>IF(A335="","",UPPER(TRIM(Form_Raw_Data!C335)))</f>
        <v/>
      </c>
      <c r="D335" s="14" t="str">
        <f>IF(A335="","",UPPER(TRIM(Form_Raw_Data!D335)))</f>
        <v/>
      </c>
      <c r="E335" s="14" t="str">
        <f>IF(A335="","",TRIM(Form_Raw_Data!E335))</f>
        <v/>
      </c>
      <c r="F335" s="12" t="str">
        <f>IF(A335="","",IF(Form_Raw_Data!F335="","",Form_Raw_Data!F335&amp;""))</f>
        <v/>
      </c>
      <c r="G335" s="14" t="str">
        <f>IF(A335="","",IF(ISNUMBER(Form_Raw_Data!F335),IF(AND(Form_Raw_Data!F335&gt;=0,Form_Raw_Data!F335&lt;=24),Form_Raw_Data!F335,""),""))</f>
        <v/>
      </c>
      <c r="H335" s="14" t="str">
        <f>IF(A335="","",TRIM(Form_Raw_Data!G335))</f>
        <v/>
      </c>
      <c r="I335" s="15" t="str">
        <f t="shared" si="5"/>
        <v/>
      </c>
      <c r="J335" s="15" t="str">
        <f>IF(A335="","",IF(COUNTIF(Lists!$A$4:$A$53,C335)&gt;0,"YES","NO"))</f>
        <v/>
      </c>
      <c r="K335" s="15" t="str">
        <f>IF(A335="","",IF(COUNTIF(Lists!$I$4:$I$53,D335)&gt;0,"YES","NO"))</f>
        <v/>
      </c>
    </row>
    <row r="336" spans="1:11" x14ac:dyDescent="0.35">
      <c r="A336" s="12" t="str">
        <f>IF(Form_Raw_Data!A336="","",Form_Raw_Data!A336)</f>
        <v/>
      </c>
      <c r="B336" s="13" t="str">
        <f>IF(A336="","",Form_Raw_Data!B336)</f>
        <v/>
      </c>
      <c r="C336" s="14" t="str">
        <f>IF(A336="","",UPPER(TRIM(Form_Raw_Data!C336)))</f>
        <v/>
      </c>
      <c r="D336" s="14" t="str">
        <f>IF(A336="","",UPPER(TRIM(Form_Raw_Data!D336)))</f>
        <v/>
      </c>
      <c r="E336" s="14" t="str">
        <f>IF(A336="","",TRIM(Form_Raw_Data!E336))</f>
        <v/>
      </c>
      <c r="F336" s="12" t="str">
        <f>IF(A336="","",IF(Form_Raw_Data!F336="","",Form_Raw_Data!F336&amp;""))</f>
        <v/>
      </c>
      <c r="G336" s="14" t="str">
        <f>IF(A336="","",IF(ISNUMBER(Form_Raw_Data!F336),IF(AND(Form_Raw_Data!F336&gt;=0,Form_Raw_Data!F336&lt;=24),Form_Raw_Data!F336,""),""))</f>
        <v/>
      </c>
      <c r="H336" s="14" t="str">
        <f>IF(A336="","",TRIM(Form_Raw_Data!G336))</f>
        <v/>
      </c>
      <c r="I336" s="15" t="str">
        <f t="shared" si="5"/>
        <v/>
      </c>
      <c r="J336" s="15" t="str">
        <f>IF(A336="","",IF(COUNTIF(Lists!$A$4:$A$53,C336)&gt;0,"YES","NO"))</f>
        <v/>
      </c>
      <c r="K336" s="15" t="str">
        <f>IF(A336="","",IF(COUNTIF(Lists!$I$4:$I$53,D336)&gt;0,"YES","NO"))</f>
        <v/>
      </c>
    </row>
    <row r="337" spans="1:11" x14ac:dyDescent="0.35">
      <c r="A337" s="12" t="str">
        <f>IF(Form_Raw_Data!A337="","",Form_Raw_Data!A337)</f>
        <v/>
      </c>
      <c r="B337" s="13" t="str">
        <f>IF(A337="","",Form_Raw_Data!B337)</f>
        <v/>
      </c>
      <c r="C337" s="14" t="str">
        <f>IF(A337="","",UPPER(TRIM(Form_Raw_Data!C337)))</f>
        <v/>
      </c>
      <c r="D337" s="14" t="str">
        <f>IF(A337="","",UPPER(TRIM(Form_Raw_Data!D337)))</f>
        <v/>
      </c>
      <c r="E337" s="14" t="str">
        <f>IF(A337="","",TRIM(Form_Raw_Data!E337))</f>
        <v/>
      </c>
      <c r="F337" s="12" t="str">
        <f>IF(A337="","",IF(Form_Raw_Data!F337="","",Form_Raw_Data!F337&amp;""))</f>
        <v/>
      </c>
      <c r="G337" s="14" t="str">
        <f>IF(A337="","",IF(ISNUMBER(Form_Raw_Data!F337),IF(AND(Form_Raw_Data!F337&gt;=0,Form_Raw_Data!F337&lt;=24),Form_Raw_Data!F337,""),""))</f>
        <v/>
      </c>
      <c r="H337" s="14" t="str">
        <f>IF(A337="","",TRIM(Form_Raw_Data!G337))</f>
        <v/>
      </c>
      <c r="I337" s="15" t="str">
        <f t="shared" si="5"/>
        <v/>
      </c>
      <c r="J337" s="15" t="str">
        <f>IF(A337="","",IF(COUNTIF(Lists!$A$4:$A$53,C337)&gt;0,"YES","NO"))</f>
        <v/>
      </c>
      <c r="K337" s="15" t="str">
        <f>IF(A337="","",IF(COUNTIF(Lists!$I$4:$I$53,D337)&gt;0,"YES","NO"))</f>
        <v/>
      </c>
    </row>
    <row r="338" spans="1:11" x14ac:dyDescent="0.35">
      <c r="A338" s="12" t="str">
        <f>IF(Form_Raw_Data!A338="","",Form_Raw_Data!A338)</f>
        <v/>
      </c>
      <c r="B338" s="13" t="str">
        <f>IF(A338="","",Form_Raw_Data!B338)</f>
        <v/>
      </c>
      <c r="C338" s="14" t="str">
        <f>IF(A338="","",UPPER(TRIM(Form_Raw_Data!C338)))</f>
        <v/>
      </c>
      <c r="D338" s="14" t="str">
        <f>IF(A338="","",UPPER(TRIM(Form_Raw_Data!D338)))</f>
        <v/>
      </c>
      <c r="E338" s="14" t="str">
        <f>IF(A338="","",TRIM(Form_Raw_Data!E338))</f>
        <v/>
      </c>
      <c r="F338" s="12" t="str">
        <f>IF(A338="","",IF(Form_Raw_Data!F338="","",Form_Raw_Data!F338&amp;""))</f>
        <v/>
      </c>
      <c r="G338" s="14" t="str">
        <f>IF(A338="","",IF(ISNUMBER(Form_Raw_Data!F338),IF(AND(Form_Raw_Data!F338&gt;=0,Form_Raw_Data!F338&lt;=24),Form_Raw_Data!F338,""),""))</f>
        <v/>
      </c>
      <c r="H338" s="14" t="str">
        <f>IF(A338="","",TRIM(Form_Raw_Data!G338))</f>
        <v/>
      </c>
      <c r="I338" s="15" t="str">
        <f t="shared" si="5"/>
        <v/>
      </c>
      <c r="J338" s="15" t="str">
        <f>IF(A338="","",IF(COUNTIF(Lists!$A$4:$A$53,C338)&gt;0,"YES","NO"))</f>
        <v/>
      </c>
      <c r="K338" s="15" t="str">
        <f>IF(A338="","",IF(COUNTIF(Lists!$I$4:$I$53,D338)&gt;0,"YES","NO"))</f>
        <v/>
      </c>
    </row>
    <row r="339" spans="1:11" x14ac:dyDescent="0.35">
      <c r="A339" s="12" t="str">
        <f>IF(Form_Raw_Data!A339="","",Form_Raw_Data!A339)</f>
        <v/>
      </c>
      <c r="B339" s="13" t="str">
        <f>IF(A339="","",Form_Raw_Data!B339)</f>
        <v/>
      </c>
      <c r="C339" s="14" t="str">
        <f>IF(A339="","",UPPER(TRIM(Form_Raw_Data!C339)))</f>
        <v/>
      </c>
      <c r="D339" s="14" t="str">
        <f>IF(A339="","",UPPER(TRIM(Form_Raw_Data!D339)))</f>
        <v/>
      </c>
      <c r="E339" s="14" t="str">
        <f>IF(A339="","",TRIM(Form_Raw_Data!E339))</f>
        <v/>
      </c>
      <c r="F339" s="12" t="str">
        <f>IF(A339="","",IF(Form_Raw_Data!F339="","",Form_Raw_Data!F339&amp;""))</f>
        <v/>
      </c>
      <c r="G339" s="14" t="str">
        <f>IF(A339="","",IF(ISNUMBER(Form_Raw_Data!F339),IF(AND(Form_Raw_Data!F339&gt;=0,Form_Raw_Data!F339&lt;=24),Form_Raw_Data!F339,""),""))</f>
        <v/>
      </c>
      <c r="H339" s="14" t="str">
        <f>IF(A339="","",TRIM(Form_Raw_Data!G339))</f>
        <v/>
      </c>
      <c r="I339" s="15" t="str">
        <f t="shared" si="5"/>
        <v/>
      </c>
      <c r="J339" s="15" t="str">
        <f>IF(A339="","",IF(COUNTIF(Lists!$A$4:$A$53,C339)&gt;0,"YES","NO"))</f>
        <v/>
      </c>
      <c r="K339" s="15" t="str">
        <f>IF(A339="","",IF(COUNTIF(Lists!$I$4:$I$53,D339)&gt;0,"YES","NO"))</f>
        <v/>
      </c>
    </row>
    <row r="340" spans="1:11" x14ac:dyDescent="0.35">
      <c r="A340" s="12" t="str">
        <f>IF(Form_Raw_Data!A340="","",Form_Raw_Data!A340)</f>
        <v/>
      </c>
      <c r="B340" s="13" t="str">
        <f>IF(A340="","",Form_Raw_Data!B340)</f>
        <v/>
      </c>
      <c r="C340" s="14" t="str">
        <f>IF(A340="","",UPPER(TRIM(Form_Raw_Data!C340)))</f>
        <v/>
      </c>
      <c r="D340" s="14" t="str">
        <f>IF(A340="","",UPPER(TRIM(Form_Raw_Data!D340)))</f>
        <v/>
      </c>
      <c r="E340" s="14" t="str">
        <f>IF(A340="","",TRIM(Form_Raw_Data!E340))</f>
        <v/>
      </c>
      <c r="F340" s="12" t="str">
        <f>IF(A340="","",IF(Form_Raw_Data!F340="","",Form_Raw_Data!F340&amp;""))</f>
        <v/>
      </c>
      <c r="G340" s="14" t="str">
        <f>IF(A340="","",IF(ISNUMBER(Form_Raw_Data!F340),IF(AND(Form_Raw_Data!F340&gt;=0,Form_Raw_Data!F340&lt;=24),Form_Raw_Data!F340,""),""))</f>
        <v/>
      </c>
      <c r="H340" s="14" t="str">
        <f>IF(A340="","",TRIM(Form_Raw_Data!G340))</f>
        <v/>
      </c>
      <c r="I340" s="15" t="str">
        <f t="shared" si="5"/>
        <v/>
      </c>
      <c r="J340" s="15" t="str">
        <f>IF(A340="","",IF(COUNTIF(Lists!$A$4:$A$53,C340)&gt;0,"YES","NO"))</f>
        <v/>
      </c>
      <c r="K340" s="15" t="str">
        <f>IF(A340="","",IF(COUNTIF(Lists!$I$4:$I$53,D340)&gt;0,"YES","NO"))</f>
        <v/>
      </c>
    </row>
    <row r="341" spans="1:11" x14ac:dyDescent="0.35">
      <c r="A341" s="12" t="str">
        <f>IF(Form_Raw_Data!A341="","",Form_Raw_Data!A341)</f>
        <v/>
      </c>
      <c r="B341" s="13" t="str">
        <f>IF(A341="","",Form_Raw_Data!B341)</f>
        <v/>
      </c>
      <c r="C341" s="14" t="str">
        <f>IF(A341="","",UPPER(TRIM(Form_Raw_Data!C341)))</f>
        <v/>
      </c>
      <c r="D341" s="14" t="str">
        <f>IF(A341="","",UPPER(TRIM(Form_Raw_Data!D341)))</f>
        <v/>
      </c>
      <c r="E341" s="14" t="str">
        <f>IF(A341="","",TRIM(Form_Raw_Data!E341))</f>
        <v/>
      </c>
      <c r="F341" s="12" t="str">
        <f>IF(A341="","",IF(Form_Raw_Data!F341="","",Form_Raw_Data!F341&amp;""))</f>
        <v/>
      </c>
      <c r="G341" s="14" t="str">
        <f>IF(A341="","",IF(ISNUMBER(Form_Raw_Data!F341),IF(AND(Form_Raw_Data!F341&gt;=0,Form_Raw_Data!F341&lt;=24),Form_Raw_Data!F341,""),""))</f>
        <v/>
      </c>
      <c r="H341" s="14" t="str">
        <f>IF(A341="","",TRIM(Form_Raw_Data!G341))</f>
        <v/>
      </c>
      <c r="I341" s="15" t="str">
        <f t="shared" si="5"/>
        <v/>
      </c>
      <c r="J341" s="15" t="str">
        <f>IF(A341="","",IF(COUNTIF(Lists!$A$4:$A$53,C341)&gt;0,"YES","NO"))</f>
        <v/>
      </c>
      <c r="K341" s="15" t="str">
        <f>IF(A341="","",IF(COUNTIF(Lists!$I$4:$I$53,D341)&gt;0,"YES","NO"))</f>
        <v/>
      </c>
    </row>
    <row r="342" spans="1:11" x14ac:dyDescent="0.35">
      <c r="A342" s="12" t="str">
        <f>IF(Form_Raw_Data!A342="","",Form_Raw_Data!A342)</f>
        <v/>
      </c>
      <c r="B342" s="13" t="str">
        <f>IF(A342="","",Form_Raw_Data!B342)</f>
        <v/>
      </c>
      <c r="C342" s="14" t="str">
        <f>IF(A342="","",UPPER(TRIM(Form_Raw_Data!C342)))</f>
        <v/>
      </c>
      <c r="D342" s="14" t="str">
        <f>IF(A342="","",UPPER(TRIM(Form_Raw_Data!D342)))</f>
        <v/>
      </c>
      <c r="E342" s="14" t="str">
        <f>IF(A342="","",TRIM(Form_Raw_Data!E342))</f>
        <v/>
      </c>
      <c r="F342" s="12" t="str">
        <f>IF(A342="","",IF(Form_Raw_Data!F342="","",Form_Raw_Data!F342&amp;""))</f>
        <v/>
      </c>
      <c r="G342" s="14" t="str">
        <f>IF(A342="","",IF(ISNUMBER(Form_Raw_Data!F342),IF(AND(Form_Raw_Data!F342&gt;=0,Form_Raw_Data!F342&lt;=24),Form_Raw_Data!F342,""),""))</f>
        <v/>
      </c>
      <c r="H342" s="14" t="str">
        <f>IF(A342="","",TRIM(Form_Raw_Data!G342))</f>
        <v/>
      </c>
      <c r="I342" s="15" t="str">
        <f t="shared" si="5"/>
        <v/>
      </c>
      <c r="J342" s="15" t="str">
        <f>IF(A342="","",IF(COUNTIF(Lists!$A$4:$A$53,C342)&gt;0,"YES","NO"))</f>
        <v/>
      </c>
      <c r="K342" s="15" t="str">
        <f>IF(A342="","",IF(COUNTIF(Lists!$I$4:$I$53,D342)&gt;0,"YES","NO"))</f>
        <v/>
      </c>
    </row>
    <row r="343" spans="1:11" x14ac:dyDescent="0.35">
      <c r="A343" s="12" t="str">
        <f>IF(Form_Raw_Data!A343="","",Form_Raw_Data!A343)</f>
        <v/>
      </c>
      <c r="B343" s="13" t="str">
        <f>IF(A343="","",Form_Raw_Data!B343)</f>
        <v/>
      </c>
      <c r="C343" s="14" t="str">
        <f>IF(A343="","",UPPER(TRIM(Form_Raw_Data!C343)))</f>
        <v/>
      </c>
      <c r="D343" s="14" t="str">
        <f>IF(A343="","",UPPER(TRIM(Form_Raw_Data!D343)))</f>
        <v/>
      </c>
      <c r="E343" s="14" t="str">
        <f>IF(A343="","",TRIM(Form_Raw_Data!E343))</f>
        <v/>
      </c>
      <c r="F343" s="12" t="str">
        <f>IF(A343="","",IF(Form_Raw_Data!F343="","",Form_Raw_Data!F343&amp;""))</f>
        <v/>
      </c>
      <c r="G343" s="14" t="str">
        <f>IF(A343="","",IF(ISNUMBER(Form_Raw_Data!F343),IF(AND(Form_Raw_Data!F343&gt;=0,Form_Raw_Data!F343&lt;=24),Form_Raw_Data!F343,""),""))</f>
        <v/>
      </c>
      <c r="H343" s="14" t="str">
        <f>IF(A343="","",TRIM(Form_Raw_Data!G343))</f>
        <v/>
      </c>
      <c r="I343" s="15" t="str">
        <f t="shared" si="5"/>
        <v/>
      </c>
      <c r="J343" s="15" t="str">
        <f>IF(A343="","",IF(COUNTIF(Lists!$A$4:$A$53,C343)&gt;0,"YES","NO"))</f>
        <v/>
      </c>
      <c r="K343" s="15" t="str">
        <f>IF(A343="","",IF(COUNTIF(Lists!$I$4:$I$53,D343)&gt;0,"YES","NO"))</f>
        <v/>
      </c>
    </row>
    <row r="344" spans="1:11" x14ac:dyDescent="0.35">
      <c r="A344" s="12" t="str">
        <f>IF(Form_Raw_Data!A344="","",Form_Raw_Data!A344)</f>
        <v/>
      </c>
      <c r="B344" s="13" t="str">
        <f>IF(A344="","",Form_Raw_Data!B344)</f>
        <v/>
      </c>
      <c r="C344" s="14" t="str">
        <f>IF(A344="","",UPPER(TRIM(Form_Raw_Data!C344)))</f>
        <v/>
      </c>
      <c r="D344" s="14" t="str">
        <f>IF(A344="","",UPPER(TRIM(Form_Raw_Data!D344)))</f>
        <v/>
      </c>
      <c r="E344" s="14" t="str">
        <f>IF(A344="","",TRIM(Form_Raw_Data!E344))</f>
        <v/>
      </c>
      <c r="F344" s="12" t="str">
        <f>IF(A344="","",IF(Form_Raw_Data!F344="","",Form_Raw_Data!F344&amp;""))</f>
        <v/>
      </c>
      <c r="G344" s="14" t="str">
        <f>IF(A344="","",IF(ISNUMBER(Form_Raw_Data!F344),IF(AND(Form_Raw_Data!F344&gt;=0,Form_Raw_Data!F344&lt;=24),Form_Raw_Data!F344,""),""))</f>
        <v/>
      </c>
      <c r="H344" s="14" t="str">
        <f>IF(A344="","",TRIM(Form_Raw_Data!G344))</f>
        <v/>
      </c>
      <c r="I344" s="15" t="str">
        <f t="shared" si="5"/>
        <v/>
      </c>
      <c r="J344" s="15" t="str">
        <f>IF(A344="","",IF(COUNTIF(Lists!$A$4:$A$53,C344)&gt;0,"YES","NO"))</f>
        <v/>
      </c>
      <c r="K344" s="15" t="str">
        <f>IF(A344="","",IF(COUNTIF(Lists!$I$4:$I$53,D344)&gt;0,"YES","NO"))</f>
        <v/>
      </c>
    </row>
    <row r="345" spans="1:11" x14ac:dyDescent="0.35">
      <c r="A345" s="12" t="str">
        <f>IF(Form_Raw_Data!A345="","",Form_Raw_Data!A345)</f>
        <v/>
      </c>
      <c r="B345" s="13" t="str">
        <f>IF(A345="","",Form_Raw_Data!B345)</f>
        <v/>
      </c>
      <c r="C345" s="14" t="str">
        <f>IF(A345="","",UPPER(TRIM(Form_Raw_Data!C345)))</f>
        <v/>
      </c>
      <c r="D345" s="14" t="str">
        <f>IF(A345="","",UPPER(TRIM(Form_Raw_Data!D345)))</f>
        <v/>
      </c>
      <c r="E345" s="14" t="str">
        <f>IF(A345="","",TRIM(Form_Raw_Data!E345))</f>
        <v/>
      </c>
      <c r="F345" s="12" t="str">
        <f>IF(A345="","",IF(Form_Raw_Data!F345="","",Form_Raw_Data!F345&amp;""))</f>
        <v/>
      </c>
      <c r="G345" s="14" t="str">
        <f>IF(A345="","",IF(ISNUMBER(Form_Raw_Data!F345),IF(AND(Form_Raw_Data!F345&gt;=0,Form_Raw_Data!F345&lt;=24),Form_Raw_Data!F345,""),""))</f>
        <v/>
      </c>
      <c r="H345" s="14" t="str">
        <f>IF(A345="","",TRIM(Form_Raw_Data!G345))</f>
        <v/>
      </c>
      <c r="I345" s="15" t="str">
        <f t="shared" si="5"/>
        <v/>
      </c>
      <c r="J345" s="15" t="str">
        <f>IF(A345="","",IF(COUNTIF(Lists!$A$4:$A$53,C345)&gt;0,"YES","NO"))</f>
        <v/>
      </c>
      <c r="K345" s="15" t="str">
        <f>IF(A345="","",IF(COUNTIF(Lists!$I$4:$I$53,D345)&gt;0,"YES","NO"))</f>
        <v/>
      </c>
    </row>
    <row r="346" spans="1:11" x14ac:dyDescent="0.35">
      <c r="A346" s="12" t="str">
        <f>IF(Form_Raw_Data!A346="","",Form_Raw_Data!A346)</f>
        <v/>
      </c>
      <c r="B346" s="13" t="str">
        <f>IF(A346="","",Form_Raw_Data!B346)</f>
        <v/>
      </c>
      <c r="C346" s="14" t="str">
        <f>IF(A346="","",UPPER(TRIM(Form_Raw_Data!C346)))</f>
        <v/>
      </c>
      <c r="D346" s="14" t="str">
        <f>IF(A346="","",UPPER(TRIM(Form_Raw_Data!D346)))</f>
        <v/>
      </c>
      <c r="E346" s="14" t="str">
        <f>IF(A346="","",TRIM(Form_Raw_Data!E346))</f>
        <v/>
      </c>
      <c r="F346" s="12" t="str">
        <f>IF(A346="","",IF(Form_Raw_Data!F346="","",Form_Raw_Data!F346&amp;""))</f>
        <v/>
      </c>
      <c r="G346" s="14" t="str">
        <f>IF(A346="","",IF(ISNUMBER(Form_Raw_Data!F346),IF(AND(Form_Raw_Data!F346&gt;=0,Form_Raw_Data!F346&lt;=24),Form_Raw_Data!F346,""),""))</f>
        <v/>
      </c>
      <c r="H346" s="14" t="str">
        <f>IF(A346="","",TRIM(Form_Raw_Data!G346))</f>
        <v/>
      </c>
      <c r="I346" s="15" t="str">
        <f t="shared" si="5"/>
        <v/>
      </c>
      <c r="J346" s="15" t="str">
        <f>IF(A346="","",IF(COUNTIF(Lists!$A$4:$A$53,C346)&gt;0,"YES","NO"))</f>
        <v/>
      </c>
      <c r="K346" s="15" t="str">
        <f>IF(A346="","",IF(COUNTIF(Lists!$I$4:$I$53,D346)&gt;0,"YES","NO"))</f>
        <v/>
      </c>
    </row>
    <row r="347" spans="1:11" x14ac:dyDescent="0.35">
      <c r="A347" s="12" t="str">
        <f>IF(Form_Raw_Data!A347="","",Form_Raw_Data!A347)</f>
        <v/>
      </c>
      <c r="B347" s="13" t="str">
        <f>IF(A347="","",Form_Raw_Data!B347)</f>
        <v/>
      </c>
      <c r="C347" s="14" t="str">
        <f>IF(A347="","",UPPER(TRIM(Form_Raw_Data!C347)))</f>
        <v/>
      </c>
      <c r="D347" s="14" t="str">
        <f>IF(A347="","",UPPER(TRIM(Form_Raw_Data!D347)))</f>
        <v/>
      </c>
      <c r="E347" s="14" t="str">
        <f>IF(A347="","",TRIM(Form_Raw_Data!E347))</f>
        <v/>
      </c>
      <c r="F347" s="12" t="str">
        <f>IF(A347="","",IF(Form_Raw_Data!F347="","",Form_Raw_Data!F347&amp;""))</f>
        <v/>
      </c>
      <c r="G347" s="14" t="str">
        <f>IF(A347="","",IF(ISNUMBER(Form_Raw_Data!F347),IF(AND(Form_Raw_Data!F347&gt;=0,Form_Raw_Data!F347&lt;=24),Form_Raw_Data!F347,""),""))</f>
        <v/>
      </c>
      <c r="H347" s="14" t="str">
        <f>IF(A347="","",TRIM(Form_Raw_Data!G347))</f>
        <v/>
      </c>
      <c r="I347" s="15" t="str">
        <f t="shared" si="5"/>
        <v/>
      </c>
      <c r="J347" s="15" t="str">
        <f>IF(A347="","",IF(COUNTIF(Lists!$A$4:$A$53,C347)&gt;0,"YES","NO"))</f>
        <v/>
      </c>
      <c r="K347" s="15" t="str">
        <f>IF(A347="","",IF(COUNTIF(Lists!$I$4:$I$53,D347)&gt;0,"YES","NO"))</f>
        <v/>
      </c>
    </row>
    <row r="348" spans="1:11" x14ac:dyDescent="0.35">
      <c r="A348" s="12" t="str">
        <f>IF(Form_Raw_Data!A348="","",Form_Raw_Data!A348)</f>
        <v/>
      </c>
      <c r="B348" s="13" t="str">
        <f>IF(A348="","",Form_Raw_Data!B348)</f>
        <v/>
      </c>
      <c r="C348" s="14" t="str">
        <f>IF(A348="","",UPPER(TRIM(Form_Raw_Data!C348)))</f>
        <v/>
      </c>
      <c r="D348" s="14" t="str">
        <f>IF(A348="","",UPPER(TRIM(Form_Raw_Data!D348)))</f>
        <v/>
      </c>
      <c r="E348" s="14" t="str">
        <f>IF(A348="","",TRIM(Form_Raw_Data!E348))</f>
        <v/>
      </c>
      <c r="F348" s="12" t="str">
        <f>IF(A348="","",IF(Form_Raw_Data!F348="","",Form_Raw_Data!F348&amp;""))</f>
        <v/>
      </c>
      <c r="G348" s="14" t="str">
        <f>IF(A348="","",IF(ISNUMBER(Form_Raw_Data!F348),IF(AND(Form_Raw_Data!F348&gt;=0,Form_Raw_Data!F348&lt;=24),Form_Raw_Data!F348,""),""))</f>
        <v/>
      </c>
      <c r="H348" s="14" t="str">
        <f>IF(A348="","",TRIM(Form_Raw_Data!G348))</f>
        <v/>
      </c>
      <c r="I348" s="15" t="str">
        <f t="shared" si="5"/>
        <v/>
      </c>
      <c r="J348" s="15" t="str">
        <f>IF(A348="","",IF(COUNTIF(Lists!$A$4:$A$53,C348)&gt;0,"YES","NO"))</f>
        <v/>
      </c>
      <c r="K348" s="15" t="str">
        <f>IF(A348="","",IF(COUNTIF(Lists!$I$4:$I$53,D348)&gt;0,"YES","NO"))</f>
        <v/>
      </c>
    </row>
    <row r="349" spans="1:11" x14ac:dyDescent="0.35">
      <c r="A349" s="12" t="str">
        <f>IF(Form_Raw_Data!A349="","",Form_Raw_Data!A349)</f>
        <v/>
      </c>
      <c r="B349" s="13" t="str">
        <f>IF(A349="","",Form_Raw_Data!B349)</f>
        <v/>
      </c>
      <c r="C349" s="14" t="str">
        <f>IF(A349="","",UPPER(TRIM(Form_Raw_Data!C349)))</f>
        <v/>
      </c>
      <c r="D349" s="14" t="str">
        <f>IF(A349="","",UPPER(TRIM(Form_Raw_Data!D349)))</f>
        <v/>
      </c>
      <c r="E349" s="14" t="str">
        <f>IF(A349="","",TRIM(Form_Raw_Data!E349))</f>
        <v/>
      </c>
      <c r="F349" s="12" t="str">
        <f>IF(A349="","",IF(Form_Raw_Data!F349="","",Form_Raw_Data!F349&amp;""))</f>
        <v/>
      </c>
      <c r="G349" s="14" t="str">
        <f>IF(A349="","",IF(ISNUMBER(Form_Raw_Data!F349),IF(AND(Form_Raw_Data!F349&gt;=0,Form_Raw_Data!F349&lt;=24),Form_Raw_Data!F349,""),""))</f>
        <v/>
      </c>
      <c r="H349" s="14" t="str">
        <f>IF(A349="","",TRIM(Form_Raw_Data!G349))</f>
        <v/>
      </c>
      <c r="I349" s="15" t="str">
        <f t="shared" si="5"/>
        <v/>
      </c>
      <c r="J349" s="15" t="str">
        <f>IF(A349="","",IF(COUNTIF(Lists!$A$4:$A$53,C349)&gt;0,"YES","NO"))</f>
        <v/>
      </c>
      <c r="K349" s="15" t="str">
        <f>IF(A349="","",IF(COUNTIF(Lists!$I$4:$I$53,D349)&gt;0,"YES","NO"))</f>
        <v/>
      </c>
    </row>
    <row r="350" spans="1:11" x14ac:dyDescent="0.35">
      <c r="A350" s="12" t="str">
        <f>IF(Form_Raw_Data!A350="","",Form_Raw_Data!A350)</f>
        <v/>
      </c>
      <c r="B350" s="13" t="str">
        <f>IF(A350="","",Form_Raw_Data!B350)</f>
        <v/>
      </c>
      <c r="C350" s="14" t="str">
        <f>IF(A350="","",UPPER(TRIM(Form_Raw_Data!C350)))</f>
        <v/>
      </c>
      <c r="D350" s="14" t="str">
        <f>IF(A350="","",UPPER(TRIM(Form_Raw_Data!D350)))</f>
        <v/>
      </c>
      <c r="E350" s="14" t="str">
        <f>IF(A350="","",TRIM(Form_Raw_Data!E350))</f>
        <v/>
      </c>
      <c r="F350" s="12" t="str">
        <f>IF(A350="","",IF(Form_Raw_Data!F350="","",Form_Raw_Data!F350&amp;""))</f>
        <v/>
      </c>
      <c r="G350" s="14" t="str">
        <f>IF(A350="","",IF(ISNUMBER(Form_Raw_Data!F350),IF(AND(Form_Raw_Data!F350&gt;=0,Form_Raw_Data!F350&lt;=24),Form_Raw_Data!F350,""),""))</f>
        <v/>
      </c>
      <c r="H350" s="14" t="str">
        <f>IF(A350="","",TRIM(Form_Raw_Data!G350))</f>
        <v/>
      </c>
      <c r="I350" s="15" t="str">
        <f t="shared" si="5"/>
        <v/>
      </c>
      <c r="J350" s="15" t="str">
        <f>IF(A350="","",IF(COUNTIF(Lists!$A$4:$A$53,C350)&gt;0,"YES","NO"))</f>
        <v/>
      </c>
      <c r="K350" s="15" t="str">
        <f>IF(A350="","",IF(COUNTIF(Lists!$I$4:$I$53,D350)&gt;0,"YES","NO"))</f>
        <v/>
      </c>
    </row>
    <row r="351" spans="1:11" x14ac:dyDescent="0.35">
      <c r="A351" s="12" t="str">
        <f>IF(Form_Raw_Data!A351="","",Form_Raw_Data!A351)</f>
        <v/>
      </c>
      <c r="B351" s="13" t="str">
        <f>IF(A351="","",Form_Raw_Data!B351)</f>
        <v/>
      </c>
      <c r="C351" s="14" t="str">
        <f>IF(A351="","",UPPER(TRIM(Form_Raw_Data!C351)))</f>
        <v/>
      </c>
      <c r="D351" s="14" t="str">
        <f>IF(A351="","",UPPER(TRIM(Form_Raw_Data!D351)))</f>
        <v/>
      </c>
      <c r="E351" s="14" t="str">
        <f>IF(A351="","",TRIM(Form_Raw_Data!E351))</f>
        <v/>
      </c>
      <c r="F351" s="12" t="str">
        <f>IF(A351="","",IF(Form_Raw_Data!F351="","",Form_Raw_Data!F351&amp;""))</f>
        <v/>
      </c>
      <c r="G351" s="14" t="str">
        <f>IF(A351="","",IF(ISNUMBER(Form_Raw_Data!F351),IF(AND(Form_Raw_Data!F351&gt;=0,Form_Raw_Data!F351&lt;=24),Form_Raw_Data!F351,""),""))</f>
        <v/>
      </c>
      <c r="H351" s="14" t="str">
        <f>IF(A351="","",TRIM(Form_Raw_Data!G351))</f>
        <v/>
      </c>
      <c r="I351" s="15" t="str">
        <f t="shared" si="5"/>
        <v/>
      </c>
      <c r="J351" s="15" t="str">
        <f>IF(A351="","",IF(COUNTIF(Lists!$A$4:$A$53,C351)&gt;0,"YES","NO"))</f>
        <v/>
      </c>
      <c r="K351" s="15" t="str">
        <f>IF(A351="","",IF(COUNTIF(Lists!$I$4:$I$53,D351)&gt;0,"YES","NO"))</f>
        <v/>
      </c>
    </row>
    <row r="352" spans="1:11" x14ac:dyDescent="0.35">
      <c r="A352" s="12" t="str">
        <f>IF(Form_Raw_Data!A352="","",Form_Raw_Data!A352)</f>
        <v/>
      </c>
      <c r="B352" s="13" t="str">
        <f>IF(A352="","",Form_Raw_Data!B352)</f>
        <v/>
      </c>
      <c r="C352" s="14" t="str">
        <f>IF(A352="","",UPPER(TRIM(Form_Raw_Data!C352)))</f>
        <v/>
      </c>
      <c r="D352" s="14" t="str">
        <f>IF(A352="","",UPPER(TRIM(Form_Raw_Data!D352)))</f>
        <v/>
      </c>
      <c r="E352" s="14" t="str">
        <f>IF(A352="","",TRIM(Form_Raw_Data!E352))</f>
        <v/>
      </c>
      <c r="F352" s="12" t="str">
        <f>IF(A352="","",IF(Form_Raw_Data!F352="","",Form_Raw_Data!F352&amp;""))</f>
        <v/>
      </c>
      <c r="G352" s="14" t="str">
        <f>IF(A352="","",IF(ISNUMBER(Form_Raw_Data!F352),IF(AND(Form_Raw_Data!F352&gt;=0,Form_Raw_Data!F352&lt;=24),Form_Raw_Data!F352,""),""))</f>
        <v/>
      </c>
      <c r="H352" s="14" t="str">
        <f>IF(A352="","",TRIM(Form_Raw_Data!G352))</f>
        <v/>
      </c>
      <c r="I352" s="15" t="str">
        <f t="shared" si="5"/>
        <v/>
      </c>
      <c r="J352" s="15" t="str">
        <f>IF(A352="","",IF(COUNTIF(Lists!$A$4:$A$53,C352)&gt;0,"YES","NO"))</f>
        <v/>
      </c>
      <c r="K352" s="15" t="str">
        <f>IF(A352="","",IF(COUNTIF(Lists!$I$4:$I$53,D352)&gt;0,"YES","NO"))</f>
        <v/>
      </c>
    </row>
    <row r="353" spans="1:11" x14ac:dyDescent="0.35">
      <c r="A353" s="12" t="str">
        <f>IF(Form_Raw_Data!A353="","",Form_Raw_Data!A353)</f>
        <v/>
      </c>
      <c r="B353" s="13" t="str">
        <f>IF(A353="","",Form_Raw_Data!B353)</f>
        <v/>
      </c>
      <c r="C353" s="14" t="str">
        <f>IF(A353="","",UPPER(TRIM(Form_Raw_Data!C353)))</f>
        <v/>
      </c>
      <c r="D353" s="14" t="str">
        <f>IF(A353="","",UPPER(TRIM(Form_Raw_Data!D353)))</f>
        <v/>
      </c>
      <c r="E353" s="14" t="str">
        <f>IF(A353="","",TRIM(Form_Raw_Data!E353))</f>
        <v/>
      </c>
      <c r="F353" s="12" t="str">
        <f>IF(A353="","",IF(Form_Raw_Data!F353="","",Form_Raw_Data!F353&amp;""))</f>
        <v/>
      </c>
      <c r="G353" s="14" t="str">
        <f>IF(A353="","",IF(ISNUMBER(Form_Raw_Data!F353),IF(AND(Form_Raw_Data!F353&gt;=0,Form_Raw_Data!F353&lt;=24),Form_Raw_Data!F353,""),""))</f>
        <v/>
      </c>
      <c r="H353" s="14" t="str">
        <f>IF(A353="","",TRIM(Form_Raw_Data!G353))</f>
        <v/>
      </c>
      <c r="I353" s="15" t="str">
        <f t="shared" si="5"/>
        <v/>
      </c>
      <c r="J353" s="15" t="str">
        <f>IF(A353="","",IF(COUNTIF(Lists!$A$4:$A$53,C353)&gt;0,"YES","NO"))</f>
        <v/>
      </c>
      <c r="K353" s="15" t="str">
        <f>IF(A353="","",IF(COUNTIF(Lists!$I$4:$I$53,D353)&gt;0,"YES","NO"))</f>
        <v/>
      </c>
    </row>
    <row r="354" spans="1:11" x14ac:dyDescent="0.35">
      <c r="A354" s="12" t="str">
        <f>IF(Form_Raw_Data!A354="","",Form_Raw_Data!A354)</f>
        <v/>
      </c>
      <c r="B354" s="13" t="str">
        <f>IF(A354="","",Form_Raw_Data!B354)</f>
        <v/>
      </c>
      <c r="C354" s="14" t="str">
        <f>IF(A354="","",UPPER(TRIM(Form_Raw_Data!C354)))</f>
        <v/>
      </c>
      <c r="D354" s="14" t="str">
        <f>IF(A354="","",UPPER(TRIM(Form_Raw_Data!D354)))</f>
        <v/>
      </c>
      <c r="E354" s="14" t="str">
        <f>IF(A354="","",TRIM(Form_Raw_Data!E354))</f>
        <v/>
      </c>
      <c r="F354" s="12" t="str">
        <f>IF(A354="","",IF(Form_Raw_Data!F354="","",Form_Raw_Data!F354&amp;""))</f>
        <v/>
      </c>
      <c r="G354" s="14" t="str">
        <f>IF(A354="","",IF(ISNUMBER(Form_Raw_Data!F354),IF(AND(Form_Raw_Data!F354&gt;=0,Form_Raw_Data!F354&lt;=24),Form_Raw_Data!F354,""),""))</f>
        <v/>
      </c>
      <c r="H354" s="14" t="str">
        <f>IF(A354="","",TRIM(Form_Raw_Data!G354))</f>
        <v/>
      </c>
      <c r="I354" s="15" t="str">
        <f t="shared" si="5"/>
        <v/>
      </c>
      <c r="J354" s="15" t="str">
        <f>IF(A354="","",IF(COUNTIF(Lists!$A$4:$A$53,C354)&gt;0,"YES","NO"))</f>
        <v/>
      </c>
      <c r="K354" s="15" t="str">
        <f>IF(A354="","",IF(COUNTIF(Lists!$I$4:$I$53,D354)&gt;0,"YES","NO"))</f>
        <v/>
      </c>
    </row>
    <row r="355" spans="1:11" x14ac:dyDescent="0.35">
      <c r="A355" s="12" t="str">
        <f>IF(Form_Raw_Data!A355="","",Form_Raw_Data!A355)</f>
        <v/>
      </c>
      <c r="B355" s="13" t="str">
        <f>IF(A355="","",Form_Raw_Data!B355)</f>
        <v/>
      </c>
      <c r="C355" s="14" t="str">
        <f>IF(A355="","",UPPER(TRIM(Form_Raw_Data!C355)))</f>
        <v/>
      </c>
      <c r="D355" s="14" t="str">
        <f>IF(A355="","",UPPER(TRIM(Form_Raw_Data!D355)))</f>
        <v/>
      </c>
      <c r="E355" s="14" t="str">
        <f>IF(A355="","",TRIM(Form_Raw_Data!E355))</f>
        <v/>
      </c>
      <c r="F355" s="12" t="str">
        <f>IF(A355="","",IF(Form_Raw_Data!F355="","",Form_Raw_Data!F355&amp;""))</f>
        <v/>
      </c>
      <c r="G355" s="14" t="str">
        <f>IF(A355="","",IF(ISNUMBER(Form_Raw_Data!F355),IF(AND(Form_Raw_Data!F355&gt;=0,Form_Raw_Data!F355&lt;=24),Form_Raw_Data!F355,""),""))</f>
        <v/>
      </c>
      <c r="H355" s="14" t="str">
        <f>IF(A355="","",TRIM(Form_Raw_Data!G355))</f>
        <v/>
      </c>
      <c r="I355" s="15" t="str">
        <f t="shared" si="5"/>
        <v/>
      </c>
      <c r="J355" s="15" t="str">
        <f>IF(A355="","",IF(COUNTIF(Lists!$A$4:$A$53,C355)&gt;0,"YES","NO"))</f>
        <v/>
      </c>
      <c r="K355" s="15" t="str">
        <f>IF(A355="","",IF(COUNTIF(Lists!$I$4:$I$53,D355)&gt;0,"YES","NO"))</f>
        <v/>
      </c>
    </row>
    <row r="356" spans="1:11" x14ac:dyDescent="0.35">
      <c r="A356" s="12" t="str">
        <f>IF(Form_Raw_Data!A356="","",Form_Raw_Data!A356)</f>
        <v/>
      </c>
      <c r="B356" s="13" t="str">
        <f>IF(A356="","",Form_Raw_Data!B356)</f>
        <v/>
      </c>
      <c r="C356" s="14" t="str">
        <f>IF(A356="","",UPPER(TRIM(Form_Raw_Data!C356)))</f>
        <v/>
      </c>
      <c r="D356" s="14" t="str">
        <f>IF(A356="","",UPPER(TRIM(Form_Raw_Data!D356)))</f>
        <v/>
      </c>
      <c r="E356" s="14" t="str">
        <f>IF(A356="","",TRIM(Form_Raw_Data!E356))</f>
        <v/>
      </c>
      <c r="F356" s="12" t="str">
        <f>IF(A356="","",IF(Form_Raw_Data!F356="","",Form_Raw_Data!F356&amp;""))</f>
        <v/>
      </c>
      <c r="G356" s="14" t="str">
        <f>IF(A356="","",IF(ISNUMBER(Form_Raw_Data!F356),IF(AND(Form_Raw_Data!F356&gt;=0,Form_Raw_Data!F356&lt;=24),Form_Raw_Data!F356,""),""))</f>
        <v/>
      </c>
      <c r="H356" s="14" t="str">
        <f>IF(A356="","",TRIM(Form_Raw_Data!G356))</f>
        <v/>
      </c>
      <c r="I356" s="15" t="str">
        <f t="shared" si="5"/>
        <v/>
      </c>
      <c r="J356" s="15" t="str">
        <f>IF(A356="","",IF(COUNTIF(Lists!$A$4:$A$53,C356)&gt;0,"YES","NO"))</f>
        <v/>
      </c>
      <c r="K356" s="15" t="str">
        <f>IF(A356="","",IF(COUNTIF(Lists!$I$4:$I$53,D356)&gt;0,"YES","NO"))</f>
        <v/>
      </c>
    </row>
    <row r="357" spans="1:11" x14ac:dyDescent="0.35">
      <c r="A357" s="12" t="str">
        <f>IF(Form_Raw_Data!A357="","",Form_Raw_Data!A357)</f>
        <v/>
      </c>
      <c r="B357" s="13" t="str">
        <f>IF(A357="","",Form_Raw_Data!B357)</f>
        <v/>
      </c>
      <c r="C357" s="14" t="str">
        <f>IF(A357="","",UPPER(TRIM(Form_Raw_Data!C357)))</f>
        <v/>
      </c>
      <c r="D357" s="14" t="str">
        <f>IF(A357="","",UPPER(TRIM(Form_Raw_Data!D357)))</f>
        <v/>
      </c>
      <c r="E357" s="14" t="str">
        <f>IF(A357="","",TRIM(Form_Raw_Data!E357))</f>
        <v/>
      </c>
      <c r="F357" s="12" t="str">
        <f>IF(A357="","",IF(Form_Raw_Data!F357="","",Form_Raw_Data!F357&amp;""))</f>
        <v/>
      </c>
      <c r="G357" s="14" t="str">
        <f>IF(A357="","",IF(ISNUMBER(Form_Raw_Data!F357),IF(AND(Form_Raw_Data!F357&gt;=0,Form_Raw_Data!F357&lt;=24),Form_Raw_Data!F357,""),""))</f>
        <v/>
      </c>
      <c r="H357" s="14" t="str">
        <f>IF(A357="","",TRIM(Form_Raw_Data!G357))</f>
        <v/>
      </c>
      <c r="I357" s="15" t="str">
        <f t="shared" si="5"/>
        <v/>
      </c>
      <c r="J357" s="15" t="str">
        <f>IF(A357="","",IF(COUNTIF(Lists!$A$4:$A$53,C357)&gt;0,"YES","NO"))</f>
        <v/>
      </c>
      <c r="K357" s="15" t="str">
        <f>IF(A357="","",IF(COUNTIF(Lists!$I$4:$I$53,D357)&gt;0,"YES","NO"))</f>
        <v/>
      </c>
    </row>
    <row r="358" spans="1:11" x14ac:dyDescent="0.35">
      <c r="A358" s="12" t="str">
        <f>IF(Form_Raw_Data!A358="","",Form_Raw_Data!A358)</f>
        <v/>
      </c>
      <c r="B358" s="13" t="str">
        <f>IF(A358="","",Form_Raw_Data!B358)</f>
        <v/>
      </c>
      <c r="C358" s="14" t="str">
        <f>IF(A358="","",UPPER(TRIM(Form_Raw_Data!C358)))</f>
        <v/>
      </c>
      <c r="D358" s="14" t="str">
        <f>IF(A358="","",UPPER(TRIM(Form_Raw_Data!D358)))</f>
        <v/>
      </c>
      <c r="E358" s="14" t="str">
        <f>IF(A358="","",TRIM(Form_Raw_Data!E358))</f>
        <v/>
      </c>
      <c r="F358" s="12" t="str">
        <f>IF(A358="","",IF(Form_Raw_Data!F358="","",Form_Raw_Data!F358&amp;""))</f>
        <v/>
      </c>
      <c r="G358" s="14" t="str">
        <f>IF(A358="","",IF(ISNUMBER(Form_Raw_Data!F358),IF(AND(Form_Raw_Data!F358&gt;=0,Form_Raw_Data!F358&lt;=24),Form_Raw_Data!F358,""),""))</f>
        <v/>
      </c>
      <c r="H358" s="14" t="str">
        <f>IF(A358="","",TRIM(Form_Raw_Data!G358))</f>
        <v/>
      </c>
      <c r="I358" s="15" t="str">
        <f t="shared" si="5"/>
        <v/>
      </c>
      <c r="J358" s="15" t="str">
        <f>IF(A358="","",IF(COUNTIF(Lists!$A$4:$A$53,C358)&gt;0,"YES","NO"))</f>
        <v/>
      </c>
      <c r="K358" s="15" t="str">
        <f>IF(A358="","",IF(COUNTIF(Lists!$I$4:$I$53,D358)&gt;0,"YES","NO"))</f>
        <v/>
      </c>
    </row>
    <row r="359" spans="1:11" x14ac:dyDescent="0.35">
      <c r="A359" s="12" t="str">
        <f>IF(Form_Raw_Data!A359="","",Form_Raw_Data!A359)</f>
        <v/>
      </c>
      <c r="B359" s="13" t="str">
        <f>IF(A359="","",Form_Raw_Data!B359)</f>
        <v/>
      </c>
      <c r="C359" s="14" t="str">
        <f>IF(A359="","",UPPER(TRIM(Form_Raw_Data!C359)))</f>
        <v/>
      </c>
      <c r="D359" s="14" t="str">
        <f>IF(A359="","",UPPER(TRIM(Form_Raw_Data!D359)))</f>
        <v/>
      </c>
      <c r="E359" s="14" t="str">
        <f>IF(A359="","",TRIM(Form_Raw_Data!E359))</f>
        <v/>
      </c>
      <c r="F359" s="12" t="str">
        <f>IF(A359="","",IF(Form_Raw_Data!F359="","",Form_Raw_Data!F359&amp;""))</f>
        <v/>
      </c>
      <c r="G359" s="14" t="str">
        <f>IF(A359="","",IF(ISNUMBER(Form_Raw_Data!F359),IF(AND(Form_Raw_Data!F359&gt;=0,Form_Raw_Data!F359&lt;=24),Form_Raw_Data!F359,""),""))</f>
        <v/>
      </c>
      <c r="H359" s="14" t="str">
        <f>IF(A359="","",TRIM(Form_Raw_Data!G359))</f>
        <v/>
      </c>
      <c r="I359" s="15" t="str">
        <f t="shared" si="5"/>
        <v/>
      </c>
      <c r="J359" s="15" t="str">
        <f>IF(A359="","",IF(COUNTIF(Lists!$A$4:$A$53,C359)&gt;0,"YES","NO"))</f>
        <v/>
      </c>
      <c r="K359" s="15" t="str">
        <f>IF(A359="","",IF(COUNTIF(Lists!$I$4:$I$53,D359)&gt;0,"YES","NO"))</f>
        <v/>
      </c>
    </row>
    <row r="360" spans="1:11" x14ac:dyDescent="0.35">
      <c r="A360" s="12" t="str">
        <f>IF(Form_Raw_Data!A360="","",Form_Raw_Data!A360)</f>
        <v/>
      </c>
      <c r="B360" s="13" t="str">
        <f>IF(A360="","",Form_Raw_Data!B360)</f>
        <v/>
      </c>
      <c r="C360" s="14" t="str">
        <f>IF(A360="","",UPPER(TRIM(Form_Raw_Data!C360)))</f>
        <v/>
      </c>
      <c r="D360" s="14" t="str">
        <f>IF(A360="","",UPPER(TRIM(Form_Raw_Data!D360)))</f>
        <v/>
      </c>
      <c r="E360" s="14" t="str">
        <f>IF(A360="","",TRIM(Form_Raw_Data!E360))</f>
        <v/>
      </c>
      <c r="F360" s="12" t="str">
        <f>IF(A360="","",IF(Form_Raw_Data!F360="","",Form_Raw_Data!F360&amp;""))</f>
        <v/>
      </c>
      <c r="G360" s="14" t="str">
        <f>IF(A360="","",IF(ISNUMBER(Form_Raw_Data!F360),IF(AND(Form_Raw_Data!F360&gt;=0,Form_Raw_Data!F360&lt;=24),Form_Raw_Data!F360,""),""))</f>
        <v/>
      </c>
      <c r="H360" s="14" t="str">
        <f>IF(A360="","",TRIM(Form_Raw_Data!G360))</f>
        <v/>
      </c>
      <c r="I360" s="15" t="str">
        <f t="shared" si="5"/>
        <v/>
      </c>
      <c r="J360" s="15" t="str">
        <f>IF(A360="","",IF(COUNTIF(Lists!$A$4:$A$53,C360)&gt;0,"YES","NO"))</f>
        <v/>
      </c>
      <c r="K360" s="15" t="str">
        <f>IF(A360="","",IF(COUNTIF(Lists!$I$4:$I$53,D360)&gt;0,"YES","NO"))</f>
        <v/>
      </c>
    </row>
    <row r="361" spans="1:11" x14ac:dyDescent="0.35">
      <c r="A361" s="12" t="str">
        <f>IF(Form_Raw_Data!A361="","",Form_Raw_Data!A361)</f>
        <v/>
      </c>
      <c r="B361" s="13" t="str">
        <f>IF(A361="","",Form_Raw_Data!B361)</f>
        <v/>
      </c>
      <c r="C361" s="14" t="str">
        <f>IF(A361="","",UPPER(TRIM(Form_Raw_Data!C361)))</f>
        <v/>
      </c>
      <c r="D361" s="14" t="str">
        <f>IF(A361="","",UPPER(TRIM(Form_Raw_Data!D361)))</f>
        <v/>
      </c>
      <c r="E361" s="14" t="str">
        <f>IF(A361="","",TRIM(Form_Raw_Data!E361))</f>
        <v/>
      </c>
      <c r="F361" s="12" t="str">
        <f>IF(A361="","",IF(Form_Raw_Data!F361="","",Form_Raw_Data!F361&amp;""))</f>
        <v/>
      </c>
      <c r="G361" s="14" t="str">
        <f>IF(A361="","",IF(ISNUMBER(Form_Raw_Data!F361),IF(AND(Form_Raw_Data!F361&gt;=0,Form_Raw_Data!F361&lt;=24),Form_Raw_Data!F361,""),""))</f>
        <v/>
      </c>
      <c r="H361" s="14" t="str">
        <f>IF(A361="","",TRIM(Form_Raw_Data!G361))</f>
        <v/>
      </c>
      <c r="I361" s="15" t="str">
        <f t="shared" si="5"/>
        <v/>
      </c>
      <c r="J361" s="15" t="str">
        <f>IF(A361="","",IF(COUNTIF(Lists!$A$4:$A$53,C361)&gt;0,"YES","NO"))</f>
        <v/>
      </c>
      <c r="K361" s="15" t="str">
        <f>IF(A361="","",IF(COUNTIF(Lists!$I$4:$I$53,D361)&gt;0,"YES","NO"))</f>
        <v/>
      </c>
    </row>
    <row r="362" spans="1:11" x14ac:dyDescent="0.35">
      <c r="A362" s="12" t="str">
        <f>IF(Form_Raw_Data!A362="","",Form_Raw_Data!A362)</f>
        <v/>
      </c>
      <c r="B362" s="13" t="str">
        <f>IF(A362="","",Form_Raw_Data!B362)</f>
        <v/>
      </c>
      <c r="C362" s="14" t="str">
        <f>IF(A362="","",UPPER(TRIM(Form_Raw_Data!C362)))</f>
        <v/>
      </c>
      <c r="D362" s="14" t="str">
        <f>IF(A362="","",UPPER(TRIM(Form_Raw_Data!D362)))</f>
        <v/>
      </c>
      <c r="E362" s="14" t="str">
        <f>IF(A362="","",TRIM(Form_Raw_Data!E362))</f>
        <v/>
      </c>
      <c r="F362" s="12" t="str">
        <f>IF(A362="","",IF(Form_Raw_Data!F362="","",Form_Raw_Data!F362&amp;""))</f>
        <v/>
      </c>
      <c r="G362" s="14" t="str">
        <f>IF(A362="","",IF(ISNUMBER(Form_Raw_Data!F362),IF(AND(Form_Raw_Data!F362&gt;=0,Form_Raw_Data!F362&lt;=24),Form_Raw_Data!F362,""),""))</f>
        <v/>
      </c>
      <c r="H362" s="14" t="str">
        <f>IF(A362="","",TRIM(Form_Raw_Data!G362))</f>
        <v/>
      </c>
      <c r="I362" s="15" t="str">
        <f t="shared" si="5"/>
        <v/>
      </c>
      <c r="J362" s="15" t="str">
        <f>IF(A362="","",IF(COUNTIF(Lists!$A$4:$A$53,C362)&gt;0,"YES","NO"))</f>
        <v/>
      </c>
      <c r="K362" s="15" t="str">
        <f>IF(A362="","",IF(COUNTIF(Lists!$I$4:$I$53,D362)&gt;0,"YES","NO"))</f>
        <v/>
      </c>
    </row>
    <row r="363" spans="1:11" x14ac:dyDescent="0.35">
      <c r="A363" s="12" t="str">
        <f>IF(Form_Raw_Data!A363="","",Form_Raw_Data!A363)</f>
        <v/>
      </c>
      <c r="B363" s="13" t="str">
        <f>IF(A363="","",Form_Raw_Data!B363)</f>
        <v/>
      </c>
      <c r="C363" s="14" t="str">
        <f>IF(A363="","",UPPER(TRIM(Form_Raw_Data!C363)))</f>
        <v/>
      </c>
      <c r="D363" s="14" t="str">
        <f>IF(A363="","",UPPER(TRIM(Form_Raw_Data!D363)))</f>
        <v/>
      </c>
      <c r="E363" s="14" t="str">
        <f>IF(A363="","",TRIM(Form_Raw_Data!E363))</f>
        <v/>
      </c>
      <c r="F363" s="12" t="str">
        <f>IF(A363="","",IF(Form_Raw_Data!F363="","",Form_Raw_Data!F363&amp;""))</f>
        <v/>
      </c>
      <c r="G363" s="14" t="str">
        <f>IF(A363="","",IF(ISNUMBER(Form_Raw_Data!F363),IF(AND(Form_Raw_Data!F363&gt;=0,Form_Raw_Data!F363&lt;=24),Form_Raw_Data!F363,""),""))</f>
        <v/>
      </c>
      <c r="H363" s="14" t="str">
        <f>IF(A363="","",TRIM(Form_Raw_Data!G363))</f>
        <v/>
      </c>
      <c r="I363" s="15" t="str">
        <f t="shared" si="5"/>
        <v/>
      </c>
      <c r="J363" s="15" t="str">
        <f>IF(A363="","",IF(COUNTIF(Lists!$A$4:$A$53,C363)&gt;0,"YES","NO"))</f>
        <v/>
      </c>
      <c r="K363" s="15" t="str">
        <f>IF(A363="","",IF(COUNTIF(Lists!$I$4:$I$53,D363)&gt;0,"YES","NO"))</f>
        <v/>
      </c>
    </row>
    <row r="364" spans="1:11" x14ac:dyDescent="0.35">
      <c r="A364" s="12" t="str">
        <f>IF(Form_Raw_Data!A364="","",Form_Raw_Data!A364)</f>
        <v/>
      </c>
      <c r="B364" s="13" t="str">
        <f>IF(A364="","",Form_Raw_Data!B364)</f>
        <v/>
      </c>
      <c r="C364" s="14" t="str">
        <f>IF(A364="","",UPPER(TRIM(Form_Raw_Data!C364)))</f>
        <v/>
      </c>
      <c r="D364" s="14" t="str">
        <f>IF(A364="","",UPPER(TRIM(Form_Raw_Data!D364)))</f>
        <v/>
      </c>
      <c r="E364" s="14" t="str">
        <f>IF(A364="","",TRIM(Form_Raw_Data!E364))</f>
        <v/>
      </c>
      <c r="F364" s="12" t="str">
        <f>IF(A364="","",IF(Form_Raw_Data!F364="","",Form_Raw_Data!F364&amp;""))</f>
        <v/>
      </c>
      <c r="G364" s="14" t="str">
        <f>IF(A364="","",IF(ISNUMBER(Form_Raw_Data!F364),IF(AND(Form_Raw_Data!F364&gt;=0,Form_Raw_Data!F364&lt;=24),Form_Raw_Data!F364,""),""))</f>
        <v/>
      </c>
      <c r="H364" s="14" t="str">
        <f>IF(A364="","",TRIM(Form_Raw_Data!G364))</f>
        <v/>
      </c>
      <c r="I364" s="15" t="str">
        <f t="shared" si="5"/>
        <v/>
      </c>
      <c r="J364" s="15" t="str">
        <f>IF(A364="","",IF(COUNTIF(Lists!$A$4:$A$53,C364)&gt;0,"YES","NO"))</f>
        <v/>
      </c>
      <c r="K364" s="15" t="str">
        <f>IF(A364="","",IF(COUNTIF(Lists!$I$4:$I$53,D364)&gt;0,"YES","NO"))</f>
        <v/>
      </c>
    </row>
    <row r="365" spans="1:11" x14ac:dyDescent="0.35">
      <c r="A365" s="12" t="str">
        <f>IF(Form_Raw_Data!A365="","",Form_Raw_Data!A365)</f>
        <v/>
      </c>
      <c r="B365" s="13" t="str">
        <f>IF(A365="","",Form_Raw_Data!B365)</f>
        <v/>
      </c>
      <c r="C365" s="14" t="str">
        <f>IF(A365="","",UPPER(TRIM(Form_Raw_Data!C365)))</f>
        <v/>
      </c>
      <c r="D365" s="14" t="str">
        <f>IF(A365="","",UPPER(TRIM(Form_Raw_Data!D365)))</f>
        <v/>
      </c>
      <c r="E365" s="14" t="str">
        <f>IF(A365="","",TRIM(Form_Raw_Data!E365))</f>
        <v/>
      </c>
      <c r="F365" s="12" t="str">
        <f>IF(A365="","",IF(Form_Raw_Data!F365="","",Form_Raw_Data!F365&amp;""))</f>
        <v/>
      </c>
      <c r="G365" s="14" t="str">
        <f>IF(A365="","",IF(ISNUMBER(Form_Raw_Data!F365),IF(AND(Form_Raw_Data!F365&gt;=0,Form_Raw_Data!F365&lt;=24),Form_Raw_Data!F365,""),""))</f>
        <v/>
      </c>
      <c r="H365" s="14" t="str">
        <f>IF(A365="","",TRIM(Form_Raw_Data!G365))</f>
        <v/>
      </c>
      <c r="I365" s="15" t="str">
        <f t="shared" si="5"/>
        <v/>
      </c>
      <c r="J365" s="15" t="str">
        <f>IF(A365="","",IF(COUNTIF(Lists!$A$4:$A$53,C365)&gt;0,"YES","NO"))</f>
        <v/>
      </c>
      <c r="K365" s="15" t="str">
        <f>IF(A365="","",IF(COUNTIF(Lists!$I$4:$I$53,D365)&gt;0,"YES","NO"))</f>
        <v/>
      </c>
    </row>
    <row r="366" spans="1:11" x14ac:dyDescent="0.35">
      <c r="A366" s="12" t="str">
        <f>IF(Form_Raw_Data!A366="","",Form_Raw_Data!A366)</f>
        <v/>
      </c>
      <c r="B366" s="13" t="str">
        <f>IF(A366="","",Form_Raw_Data!B366)</f>
        <v/>
      </c>
      <c r="C366" s="14" t="str">
        <f>IF(A366="","",UPPER(TRIM(Form_Raw_Data!C366)))</f>
        <v/>
      </c>
      <c r="D366" s="14" t="str">
        <f>IF(A366="","",UPPER(TRIM(Form_Raw_Data!D366)))</f>
        <v/>
      </c>
      <c r="E366" s="14" t="str">
        <f>IF(A366="","",TRIM(Form_Raw_Data!E366))</f>
        <v/>
      </c>
      <c r="F366" s="12" t="str">
        <f>IF(A366="","",IF(Form_Raw_Data!F366="","",Form_Raw_Data!F366&amp;""))</f>
        <v/>
      </c>
      <c r="G366" s="14" t="str">
        <f>IF(A366="","",IF(ISNUMBER(Form_Raw_Data!F366),IF(AND(Form_Raw_Data!F366&gt;=0,Form_Raw_Data!F366&lt;=24),Form_Raw_Data!F366,""),""))</f>
        <v/>
      </c>
      <c r="H366" s="14" t="str">
        <f>IF(A366="","",TRIM(Form_Raw_Data!G366))</f>
        <v/>
      </c>
      <c r="I366" s="15" t="str">
        <f t="shared" si="5"/>
        <v/>
      </c>
      <c r="J366" s="15" t="str">
        <f>IF(A366="","",IF(COUNTIF(Lists!$A$4:$A$53,C366)&gt;0,"YES","NO"))</f>
        <v/>
      </c>
      <c r="K366" s="15" t="str">
        <f>IF(A366="","",IF(COUNTIF(Lists!$I$4:$I$53,D366)&gt;0,"YES","NO"))</f>
        <v/>
      </c>
    </row>
    <row r="367" spans="1:11" x14ac:dyDescent="0.35">
      <c r="A367" s="12" t="str">
        <f>IF(Form_Raw_Data!A367="","",Form_Raw_Data!A367)</f>
        <v/>
      </c>
      <c r="B367" s="13" t="str">
        <f>IF(A367="","",Form_Raw_Data!B367)</f>
        <v/>
      </c>
      <c r="C367" s="14" t="str">
        <f>IF(A367="","",UPPER(TRIM(Form_Raw_Data!C367)))</f>
        <v/>
      </c>
      <c r="D367" s="14" t="str">
        <f>IF(A367="","",UPPER(TRIM(Form_Raw_Data!D367)))</f>
        <v/>
      </c>
      <c r="E367" s="14" t="str">
        <f>IF(A367="","",TRIM(Form_Raw_Data!E367))</f>
        <v/>
      </c>
      <c r="F367" s="12" t="str">
        <f>IF(A367="","",IF(Form_Raw_Data!F367="","",Form_Raw_Data!F367&amp;""))</f>
        <v/>
      </c>
      <c r="G367" s="14" t="str">
        <f>IF(A367="","",IF(ISNUMBER(Form_Raw_Data!F367),IF(AND(Form_Raw_Data!F367&gt;=0,Form_Raw_Data!F367&lt;=24),Form_Raw_Data!F367,""),""))</f>
        <v/>
      </c>
      <c r="H367" s="14" t="str">
        <f>IF(A367="","",TRIM(Form_Raw_Data!G367))</f>
        <v/>
      </c>
      <c r="I367" s="15" t="str">
        <f t="shared" si="5"/>
        <v/>
      </c>
      <c r="J367" s="15" t="str">
        <f>IF(A367="","",IF(COUNTIF(Lists!$A$4:$A$53,C367)&gt;0,"YES","NO"))</f>
        <v/>
      </c>
      <c r="K367" s="15" t="str">
        <f>IF(A367="","",IF(COUNTIF(Lists!$I$4:$I$53,D367)&gt;0,"YES","NO"))</f>
        <v/>
      </c>
    </row>
    <row r="368" spans="1:11" x14ac:dyDescent="0.35">
      <c r="A368" s="12" t="str">
        <f>IF(Form_Raw_Data!A368="","",Form_Raw_Data!A368)</f>
        <v/>
      </c>
      <c r="B368" s="13" t="str">
        <f>IF(A368="","",Form_Raw_Data!B368)</f>
        <v/>
      </c>
      <c r="C368" s="14" t="str">
        <f>IF(A368="","",UPPER(TRIM(Form_Raw_Data!C368)))</f>
        <v/>
      </c>
      <c r="D368" s="14" t="str">
        <f>IF(A368="","",UPPER(TRIM(Form_Raw_Data!D368)))</f>
        <v/>
      </c>
      <c r="E368" s="14" t="str">
        <f>IF(A368="","",TRIM(Form_Raw_Data!E368))</f>
        <v/>
      </c>
      <c r="F368" s="12" t="str">
        <f>IF(A368="","",IF(Form_Raw_Data!F368="","",Form_Raw_Data!F368&amp;""))</f>
        <v/>
      </c>
      <c r="G368" s="14" t="str">
        <f>IF(A368="","",IF(ISNUMBER(Form_Raw_Data!F368),IF(AND(Form_Raw_Data!F368&gt;=0,Form_Raw_Data!F368&lt;=24),Form_Raw_Data!F368,""),""))</f>
        <v/>
      </c>
      <c r="H368" s="14" t="str">
        <f>IF(A368="","",TRIM(Form_Raw_Data!G368))</f>
        <v/>
      </c>
      <c r="I368" s="15" t="str">
        <f t="shared" si="5"/>
        <v/>
      </c>
      <c r="J368" s="15" t="str">
        <f>IF(A368="","",IF(COUNTIF(Lists!$A$4:$A$53,C368)&gt;0,"YES","NO"))</f>
        <v/>
      </c>
      <c r="K368" s="15" t="str">
        <f>IF(A368="","",IF(COUNTIF(Lists!$I$4:$I$53,D368)&gt;0,"YES","NO"))</f>
        <v/>
      </c>
    </row>
    <row r="369" spans="1:11" x14ac:dyDescent="0.35">
      <c r="A369" s="12" t="str">
        <f>IF(Form_Raw_Data!A369="","",Form_Raw_Data!A369)</f>
        <v/>
      </c>
      <c r="B369" s="13" t="str">
        <f>IF(A369="","",Form_Raw_Data!B369)</f>
        <v/>
      </c>
      <c r="C369" s="14" t="str">
        <f>IF(A369="","",UPPER(TRIM(Form_Raw_Data!C369)))</f>
        <v/>
      </c>
      <c r="D369" s="14" t="str">
        <f>IF(A369="","",UPPER(TRIM(Form_Raw_Data!D369)))</f>
        <v/>
      </c>
      <c r="E369" s="14" t="str">
        <f>IF(A369="","",TRIM(Form_Raw_Data!E369))</f>
        <v/>
      </c>
      <c r="F369" s="12" t="str">
        <f>IF(A369="","",IF(Form_Raw_Data!F369="","",Form_Raw_Data!F369&amp;""))</f>
        <v/>
      </c>
      <c r="G369" s="14" t="str">
        <f>IF(A369="","",IF(ISNUMBER(Form_Raw_Data!F369),IF(AND(Form_Raw_Data!F369&gt;=0,Form_Raw_Data!F369&lt;=24),Form_Raw_Data!F369,""),""))</f>
        <v/>
      </c>
      <c r="H369" s="14" t="str">
        <f>IF(A369="","",TRIM(Form_Raw_Data!G369))</f>
        <v/>
      </c>
      <c r="I369" s="15" t="str">
        <f t="shared" si="5"/>
        <v/>
      </c>
      <c r="J369" s="15" t="str">
        <f>IF(A369="","",IF(COUNTIF(Lists!$A$4:$A$53,C369)&gt;0,"YES","NO"))</f>
        <v/>
      </c>
      <c r="K369" s="15" t="str">
        <f>IF(A369="","",IF(COUNTIF(Lists!$I$4:$I$53,D369)&gt;0,"YES","NO"))</f>
        <v/>
      </c>
    </row>
    <row r="370" spans="1:11" x14ac:dyDescent="0.35">
      <c r="A370" s="12" t="str">
        <f>IF(Form_Raw_Data!A370="","",Form_Raw_Data!A370)</f>
        <v/>
      </c>
      <c r="B370" s="13" t="str">
        <f>IF(A370="","",Form_Raw_Data!B370)</f>
        <v/>
      </c>
      <c r="C370" s="14" t="str">
        <f>IF(A370="","",UPPER(TRIM(Form_Raw_Data!C370)))</f>
        <v/>
      </c>
      <c r="D370" s="14" t="str">
        <f>IF(A370="","",UPPER(TRIM(Form_Raw_Data!D370)))</f>
        <v/>
      </c>
      <c r="E370" s="14" t="str">
        <f>IF(A370="","",TRIM(Form_Raw_Data!E370))</f>
        <v/>
      </c>
      <c r="F370" s="12" t="str">
        <f>IF(A370="","",IF(Form_Raw_Data!F370="","",Form_Raw_Data!F370&amp;""))</f>
        <v/>
      </c>
      <c r="G370" s="14" t="str">
        <f>IF(A370="","",IF(ISNUMBER(Form_Raw_Data!F370),IF(AND(Form_Raw_Data!F370&gt;=0,Form_Raw_Data!F370&lt;=24),Form_Raw_Data!F370,""),""))</f>
        <v/>
      </c>
      <c r="H370" s="14" t="str">
        <f>IF(A370="","",TRIM(Form_Raw_Data!G370))</f>
        <v/>
      </c>
      <c r="I370" s="15" t="str">
        <f t="shared" si="5"/>
        <v/>
      </c>
      <c r="J370" s="15" t="str">
        <f>IF(A370="","",IF(COUNTIF(Lists!$A$4:$A$53,C370)&gt;0,"YES","NO"))</f>
        <v/>
      </c>
      <c r="K370" s="15" t="str">
        <f>IF(A370="","",IF(COUNTIF(Lists!$I$4:$I$53,D370)&gt;0,"YES","NO"))</f>
        <v/>
      </c>
    </row>
    <row r="371" spans="1:11" x14ac:dyDescent="0.35">
      <c r="A371" s="12" t="str">
        <f>IF(Form_Raw_Data!A371="","",Form_Raw_Data!A371)</f>
        <v/>
      </c>
      <c r="B371" s="13" t="str">
        <f>IF(A371="","",Form_Raw_Data!B371)</f>
        <v/>
      </c>
      <c r="C371" s="14" t="str">
        <f>IF(A371="","",UPPER(TRIM(Form_Raw_Data!C371)))</f>
        <v/>
      </c>
      <c r="D371" s="14" t="str">
        <f>IF(A371="","",UPPER(TRIM(Form_Raw_Data!D371)))</f>
        <v/>
      </c>
      <c r="E371" s="14" t="str">
        <f>IF(A371="","",TRIM(Form_Raw_Data!E371))</f>
        <v/>
      </c>
      <c r="F371" s="12" t="str">
        <f>IF(A371="","",IF(Form_Raw_Data!F371="","",Form_Raw_Data!F371&amp;""))</f>
        <v/>
      </c>
      <c r="G371" s="14" t="str">
        <f>IF(A371="","",IF(ISNUMBER(Form_Raw_Data!F371),IF(AND(Form_Raw_Data!F371&gt;=0,Form_Raw_Data!F371&lt;=24),Form_Raw_Data!F371,""),""))</f>
        <v/>
      </c>
      <c r="H371" s="14" t="str">
        <f>IF(A371="","",TRIM(Form_Raw_Data!G371))</f>
        <v/>
      </c>
      <c r="I371" s="15" t="str">
        <f t="shared" si="5"/>
        <v/>
      </c>
      <c r="J371" s="15" t="str">
        <f>IF(A371="","",IF(COUNTIF(Lists!$A$4:$A$53,C371)&gt;0,"YES","NO"))</f>
        <v/>
      </c>
      <c r="K371" s="15" t="str">
        <f>IF(A371="","",IF(COUNTIF(Lists!$I$4:$I$53,D371)&gt;0,"YES","NO"))</f>
        <v/>
      </c>
    </row>
    <row r="372" spans="1:11" x14ac:dyDescent="0.35">
      <c r="A372" s="12" t="str">
        <f>IF(Form_Raw_Data!A372="","",Form_Raw_Data!A372)</f>
        <v/>
      </c>
      <c r="B372" s="13" t="str">
        <f>IF(A372="","",Form_Raw_Data!B372)</f>
        <v/>
      </c>
      <c r="C372" s="14" t="str">
        <f>IF(A372="","",UPPER(TRIM(Form_Raw_Data!C372)))</f>
        <v/>
      </c>
      <c r="D372" s="14" t="str">
        <f>IF(A372="","",UPPER(TRIM(Form_Raw_Data!D372)))</f>
        <v/>
      </c>
      <c r="E372" s="14" t="str">
        <f>IF(A372="","",TRIM(Form_Raw_Data!E372))</f>
        <v/>
      </c>
      <c r="F372" s="12" t="str">
        <f>IF(A372="","",IF(Form_Raw_Data!F372="","",Form_Raw_Data!F372&amp;""))</f>
        <v/>
      </c>
      <c r="G372" s="14" t="str">
        <f>IF(A372="","",IF(ISNUMBER(Form_Raw_Data!F372),IF(AND(Form_Raw_Data!F372&gt;=0,Form_Raw_Data!F372&lt;=24),Form_Raw_Data!F372,""),""))</f>
        <v/>
      </c>
      <c r="H372" s="14" t="str">
        <f>IF(A372="","",TRIM(Form_Raw_Data!G372))</f>
        <v/>
      </c>
      <c r="I372" s="15" t="str">
        <f t="shared" si="5"/>
        <v/>
      </c>
      <c r="J372" s="15" t="str">
        <f>IF(A372="","",IF(COUNTIF(Lists!$A$4:$A$53,C372)&gt;0,"YES","NO"))</f>
        <v/>
      </c>
      <c r="K372" s="15" t="str">
        <f>IF(A372="","",IF(COUNTIF(Lists!$I$4:$I$53,D372)&gt;0,"YES","NO"))</f>
        <v/>
      </c>
    </row>
    <row r="373" spans="1:11" x14ac:dyDescent="0.35">
      <c r="A373" s="12" t="str">
        <f>IF(Form_Raw_Data!A373="","",Form_Raw_Data!A373)</f>
        <v/>
      </c>
      <c r="B373" s="13" t="str">
        <f>IF(A373="","",Form_Raw_Data!B373)</f>
        <v/>
      </c>
      <c r="C373" s="14" t="str">
        <f>IF(A373="","",UPPER(TRIM(Form_Raw_Data!C373)))</f>
        <v/>
      </c>
      <c r="D373" s="14" t="str">
        <f>IF(A373="","",UPPER(TRIM(Form_Raw_Data!D373)))</f>
        <v/>
      </c>
      <c r="E373" s="14" t="str">
        <f>IF(A373="","",TRIM(Form_Raw_Data!E373))</f>
        <v/>
      </c>
      <c r="F373" s="12" t="str">
        <f>IF(A373="","",IF(Form_Raw_Data!F373="","",Form_Raw_Data!F373&amp;""))</f>
        <v/>
      </c>
      <c r="G373" s="14" t="str">
        <f>IF(A373="","",IF(ISNUMBER(Form_Raw_Data!F373),IF(AND(Form_Raw_Data!F373&gt;=0,Form_Raw_Data!F373&lt;=24),Form_Raw_Data!F373,""),""))</f>
        <v/>
      </c>
      <c r="H373" s="14" t="str">
        <f>IF(A373="","",TRIM(Form_Raw_Data!G373))</f>
        <v/>
      </c>
      <c r="I373" s="15" t="str">
        <f t="shared" si="5"/>
        <v/>
      </c>
      <c r="J373" s="15" t="str">
        <f>IF(A373="","",IF(COUNTIF(Lists!$A$4:$A$53,C373)&gt;0,"YES","NO"))</f>
        <v/>
      </c>
      <c r="K373" s="15" t="str">
        <f>IF(A373="","",IF(COUNTIF(Lists!$I$4:$I$53,D373)&gt;0,"YES","NO"))</f>
        <v/>
      </c>
    </row>
    <row r="374" spans="1:11" x14ac:dyDescent="0.35">
      <c r="A374" s="12" t="str">
        <f>IF(Form_Raw_Data!A374="","",Form_Raw_Data!A374)</f>
        <v/>
      </c>
      <c r="B374" s="13" t="str">
        <f>IF(A374="","",Form_Raw_Data!B374)</f>
        <v/>
      </c>
      <c r="C374" s="14" t="str">
        <f>IF(A374="","",UPPER(TRIM(Form_Raw_Data!C374)))</f>
        <v/>
      </c>
      <c r="D374" s="14" t="str">
        <f>IF(A374="","",UPPER(TRIM(Form_Raw_Data!D374)))</f>
        <v/>
      </c>
      <c r="E374" s="14" t="str">
        <f>IF(A374="","",TRIM(Form_Raw_Data!E374))</f>
        <v/>
      </c>
      <c r="F374" s="12" t="str">
        <f>IF(A374="","",IF(Form_Raw_Data!F374="","",Form_Raw_Data!F374&amp;""))</f>
        <v/>
      </c>
      <c r="G374" s="14" t="str">
        <f>IF(A374="","",IF(ISNUMBER(Form_Raw_Data!F374),IF(AND(Form_Raw_Data!F374&gt;=0,Form_Raw_Data!F374&lt;=24),Form_Raw_Data!F374,""),""))</f>
        <v/>
      </c>
      <c r="H374" s="14" t="str">
        <f>IF(A374="","",TRIM(Form_Raw_Data!G374))</f>
        <v/>
      </c>
      <c r="I374" s="15" t="str">
        <f t="shared" si="5"/>
        <v/>
      </c>
      <c r="J374" s="15" t="str">
        <f>IF(A374="","",IF(COUNTIF(Lists!$A$4:$A$53,C374)&gt;0,"YES","NO"))</f>
        <v/>
      </c>
      <c r="K374" s="15" t="str">
        <f>IF(A374="","",IF(COUNTIF(Lists!$I$4:$I$53,D374)&gt;0,"YES","NO"))</f>
        <v/>
      </c>
    </row>
    <row r="375" spans="1:11" x14ac:dyDescent="0.35">
      <c r="A375" s="12" t="str">
        <f>IF(Form_Raw_Data!A375="","",Form_Raw_Data!A375)</f>
        <v/>
      </c>
      <c r="B375" s="13" t="str">
        <f>IF(A375="","",Form_Raw_Data!B375)</f>
        <v/>
      </c>
      <c r="C375" s="14" t="str">
        <f>IF(A375="","",UPPER(TRIM(Form_Raw_Data!C375)))</f>
        <v/>
      </c>
      <c r="D375" s="14" t="str">
        <f>IF(A375="","",UPPER(TRIM(Form_Raw_Data!D375)))</f>
        <v/>
      </c>
      <c r="E375" s="14" t="str">
        <f>IF(A375="","",TRIM(Form_Raw_Data!E375))</f>
        <v/>
      </c>
      <c r="F375" s="12" t="str">
        <f>IF(A375="","",IF(Form_Raw_Data!F375="","",Form_Raw_Data!F375&amp;""))</f>
        <v/>
      </c>
      <c r="G375" s="14" t="str">
        <f>IF(A375="","",IF(ISNUMBER(Form_Raw_Data!F375),IF(AND(Form_Raw_Data!F375&gt;=0,Form_Raw_Data!F375&lt;=24),Form_Raw_Data!F375,""),""))</f>
        <v/>
      </c>
      <c r="H375" s="14" t="str">
        <f>IF(A375="","",TRIM(Form_Raw_Data!G375))</f>
        <v/>
      </c>
      <c r="I375" s="15" t="str">
        <f t="shared" si="5"/>
        <v/>
      </c>
      <c r="J375" s="15" t="str">
        <f>IF(A375="","",IF(COUNTIF(Lists!$A$4:$A$53,C375)&gt;0,"YES","NO"))</f>
        <v/>
      </c>
      <c r="K375" s="15" t="str">
        <f>IF(A375="","",IF(COUNTIF(Lists!$I$4:$I$53,D375)&gt;0,"YES","NO"))</f>
        <v/>
      </c>
    </row>
    <row r="376" spans="1:11" x14ac:dyDescent="0.35">
      <c r="A376" s="12" t="str">
        <f>IF(Form_Raw_Data!A376="","",Form_Raw_Data!A376)</f>
        <v/>
      </c>
      <c r="B376" s="13" t="str">
        <f>IF(A376="","",Form_Raw_Data!B376)</f>
        <v/>
      </c>
      <c r="C376" s="14" t="str">
        <f>IF(A376="","",UPPER(TRIM(Form_Raw_Data!C376)))</f>
        <v/>
      </c>
      <c r="D376" s="14" t="str">
        <f>IF(A376="","",UPPER(TRIM(Form_Raw_Data!D376)))</f>
        <v/>
      </c>
      <c r="E376" s="14" t="str">
        <f>IF(A376="","",TRIM(Form_Raw_Data!E376))</f>
        <v/>
      </c>
      <c r="F376" s="12" t="str">
        <f>IF(A376="","",IF(Form_Raw_Data!F376="","",Form_Raw_Data!F376&amp;""))</f>
        <v/>
      </c>
      <c r="G376" s="14" t="str">
        <f>IF(A376="","",IF(ISNUMBER(Form_Raw_Data!F376),IF(AND(Form_Raw_Data!F376&gt;=0,Form_Raw_Data!F376&lt;=24),Form_Raw_Data!F376,""),""))</f>
        <v/>
      </c>
      <c r="H376" s="14" t="str">
        <f>IF(A376="","",TRIM(Form_Raw_Data!G376))</f>
        <v/>
      </c>
      <c r="I376" s="15" t="str">
        <f t="shared" si="5"/>
        <v/>
      </c>
      <c r="J376" s="15" t="str">
        <f>IF(A376="","",IF(COUNTIF(Lists!$A$4:$A$53,C376)&gt;0,"YES","NO"))</f>
        <v/>
      </c>
      <c r="K376" s="15" t="str">
        <f>IF(A376="","",IF(COUNTIF(Lists!$I$4:$I$53,D376)&gt;0,"YES","NO"))</f>
        <v/>
      </c>
    </row>
    <row r="377" spans="1:11" x14ac:dyDescent="0.35">
      <c r="A377" s="12" t="str">
        <f>IF(Form_Raw_Data!A377="","",Form_Raw_Data!A377)</f>
        <v/>
      </c>
      <c r="B377" s="13" t="str">
        <f>IF(A377="","",Form_Raw_Data!B377)</f>
        <v/>
      </c>
      <c r="C377" s="14" t="str">
        <f>IF(A377="","",UPPER(TRIM(Form_Raw_Data!C377)))</f>
        <v/>
      </c>
      <c r="D377" s="14" t="str">
        <f>IF(A377="","",UPPER(TRIM(Form_Raw_Data!D377)))</f>
        <v/>
      </c>
      <c r="E377" s="14" t="str">
        <f>IF(A377="","",TRIM(Form_Raw_Data!E377))</f>
        <v/>
      </c>
      <c r="F377" s="12" t="str">
        <f>IF(A377="","",IF(Form_Raw_Data!F377="","",Form_Raw_Data!F377&amp;""))</f>
        <v/>
      </c>
      <c r="G377" s="14" t="str">
        <f>IF(A377="","",IF(ISNUMBER(Form_Raw_Data!F377),IF(AND(Form_Raw_Data!F377&gt;=0,Form_Raw_Data!F377&lt;=24),Form_Raw_Data!F377,""),""))</f>
        <v/>
      </c>
      <c r="H377" s="14" t="str">
        <f>IF(A377="","",TRIM(Form_Raw_Data!G377))</f>
        <v/>
      </c>
      <c r="I377" s="15" t="str">
        <f t="shared" si="5"/>
        <v/>
      </c>
      <c r="J377" s="15" t="str">
        <f>IF(A377="","",IF(COUNTIF(Lists!$A$4:$A$53,C377)&gt;0,"YES","NO"))</f>
        <v/>
      </c>
      <c r="K377" s="15" t="str">
        <f>IF(A377="","",IF(COUNTIF(Lists!$I$4:$I$53,D377)&gt;0,"YES","NO"))</f>
        <v/>
      </c>
    </row>
    <row r="378" spans="1:11" x14ac:dyDescent="0.35">
      <c r="A378" s="12" t="str">
        <f>IF(Form_Raw_Data!A378="","",Form_Raw_Data!A378)</f>
        <v/>
      </c>
      <c r="B378" s="13" t="str">
        <f>IF(A378="","",Form_Raw_Data!B378)</f>
        <v/>
      </c>
      <c r="C378" s="14" t="str">
        <f>IF(A378="","",UPPER(TRIM(Form_Raw_Data!C378)))</f>
        <v/>
      </c>
      <c r="D378" s="14" t="str">
        <f>IF(A378="","",UPPER(TRIM(Form_Raw_Data!D378)))</f>
        <v/>
      </c>
      <c r="E378" s="14" t="str">
        <f>IF(A378="","",TRIM(Form_Raw_Data!E378))</f>
        <v/>
      </c>
      <c r="F378" s="12" t="str">
        <f>IF(A378="","",IF(Form_Raw_Data!F378="","",Form_Raw_Data!F378&amp;""))</f>
        <v/>
      </c>
      <c r="G378" s="14" t="str">
        <f>IF(A378="","",IF(ISNUMBER(Form_Raw_Data!F378),IF(AND(Form_Raw_Data!F378&gt;=0,Form_Raw_Data!F378&lt;=24),Form_Raw_Data!F378,""),""))</f>
        <v/>
      </c>
      <c r="H378" s="14" t="str">
        <f>IF(A378="","",TRIM(Form_Raw_Data!G378))</f>
        <v/>
      </c>
      <c r="I378" s="15" t="str">
        <f t="shared" si="5"/>
        <v/>
      </c>
      <c r="J378" s="15" t="str">
        <f>IF(A378="","",IF(COUNTIF(Lists!$A$4:$A$53,C378)&gt;0,"YES","NO"))</f>
        <v/>
      </c>
      <c r="K378" s="15" t="str">
        <f>IF(A378="","",IF(COUNTIF(Lists!$I$4:$I$53,D378)&gt;0,"YES","NO"))</f>
        <v/>
      </c>
    </row>
    <row r="379" spans="1:11" x14ac:dyDescent="0.35">
      <c r="A379" s="12" t="str">
        <f>IF(Form_Raw_Data!A379="","",Form_Raw_Data!A379)</f>
        <v/>
      </c>
      <c r="B379" s="13" t="str">
        <f>IF(A379="","",Form_Raw_Data!B379)</f>
        <v/>
      </c>
      <c r="C379" s="14" t="str">
        <f>IF(A379="","",UPPER(TRIM(Form_Raw_Data!C379)))</f>
        <v/>
      </c>
      <c r="D379" s="14" t="str">
        <f>IF(A379="","",UPPER(TRIM(Form_Raw_Data!D379)))</f>
        <v/>
      </c>
      <c r="E379" s="14" t="str">
        <f>IF(A379="","",TRIM(Form_Raw_Data!E379))</f>
        <v/>
      </c>
      <c r="F379" s="12" t="str">
        <f>IF(A379="","",IF(Form_Raw_Data!F379="","",Form_Raw_Data!F379&amp;""))</f>
        <v/>
      </c>
      <c r="G379" s="14" t="str">
        <f>IF(A379="","",IF(ISNUMBER(Form_Raw_Data!F379),IF(AND(Form_Raw_Data!F379&gt;=0,Form_Raw_Data!F379&lt;=24),Form_Raw_Data!F379,""),""))</f>
        <v/>
      </c>
      <c r="H379" s="14" t="str">
        <f>IF(A379="","",TRIM(Form_Raw_Data!G379))</f>
        <v/>
      </c>
      <c r="I379" s="15" t="str">
        <f t="shared" si="5"/>
        <v/>
      </c>
      <c r="J379" s="15" t="str">
        <f>IF(A379="","",IF(COUNTIF(Lists!$A$4:$A$53,C379)&gt;0,"YES","NO"))</f>
        <v/>
      </c>
      <c r="K379" s="15" t="str">
        <f>IF(A379="","",IF(COUNTIF(Lists!$I$4:$I$53,D379)&gt;0,"YES","NO"))</f>
        <v/>
      </c>
    </row>
    <row r="380" spans="1:11" x14ac:dyDescent="0.35">
      <c r="A380" s="12" t="str">
        <f>IF(Form_Raw_Data!A380="","",Form_Raw_Data!A380)</f>
        <v/>
      </c>
      <c r="B380" s="13" t="str">
        <f>IF(A380="","",Form_Raw_Data!B380)</f>
        <v/>
      </c>
      <c r="C380" s="14" t="str">
        <f>IF(A380="","",UPPER(TRIM(Form_Raw_Data!C380)))</f>
        <v/>
      </c>
      <c r="D380" s="14" t="str">
        <f>IF(A380="","",UPPER(TRIM(Form_Raw_Data!D380)))</f>
        <v/>
      </c>
      <c r="E380" s="14" t="str">
        <f>IF(A380="","",TRIM(Form_Raw_Data!E380))</f>
        <v/>
      </c>
      <c r="F380" s="12" t="str">
        <f>IF(A380="","",IF(Form_Raw_Data!F380="","",Form_Raw_Data!F380&amp;""))</f>
        <v/>
      </c>
      <c r="G380" s="14" t="str">
        <f>IF(A380="","",IF(ISNUMBER(Form_Raw_Data!F380),IF(AND(Form_Raw_Data!F380&gt;=0,Form_Raw_Data!F380&lt;=24),Form_Raw_Data!F380,""),""))</f>
        <v/>
      </c>
      <c r="H380" s="14" t="str">
        <f>IF(A380="","",TRIM(Form_Raw_Data!G380))</f>
        <v/>
      </c>
      <c r="I380" s="15" t="str">
        <f t="shared" si="5"/>
        <v/>
      </c>
      <c r="J380" s="15" t="str">
        <f>IF(A380="","",IF(COUNTIF(Lists!$A$4:$A$53,C380)&gt;0,"YES","NO"))</f>
        <v/>
      </c>
      <c r="K380" s="15" t="str">
        <f>IF(A380="","",IF(COUNTIF(Lists!$I$4:$I$53,D380)&gt;0,"YES","NO"))</f>
        <v/>
      </c>
    </row>
    <row r="381" spans="1:11" x14ac:dyDescent="0.35">
      <c r="A381" s="12" t="str">
        <f>IF(Form_Raw_Data!A381="","",Form_Raw_Data!A381)</f>
        <v/>
      </c>
      <c r="B381" s="13" t="str">
        <f>IF(A381="","",Form_Raw_Data!B381)</f>
        <v/>
      </c>
      <c r="C381" s="14" t="str">
        <f>IF(A381="","",UPPER(TRIM(Form_Raw_Data!C381)))</f>
        <v/>
      </c>
      <c r="D381" s="14" t="str">
        <f>IF(A381="","",UPPER(TRIM(Form_Raw_Data!D381)))</f>
        <v/>
      </c>
      <c r="E381" s="14" t="str">
        <f>IF(A381="","",TRIM(Form_Raw_Data!E381))</f>
        <v/>
      </c>
      <c r="F381" s="12" t="str">
        <f>IF(A381="","",IF(Form_Raw_Data!F381="","",Form_Raw_Data!F381&amp;""))</f>
        <v/>
      </c>
      <c r="G381" s="14" t="str">
        <f>IF(A381="","",IF(ISNUMBER(Form_Raw_Data!F381),IF(AND(Form_Raw_Data!F381&gt;=0,Form_Raw_Data!F381&lt;=24),Form_Raw_Data!F381,""),""))</f>
        <v/>
      </c>
      <c r="H381" s="14" t="str">
        <f>IF(A381="","",TRIM(Form_Raw_Data!G381))</f>
        <v/>
      </c>
      <c r="I381" s="15" t="str">
        <f t="shared" si="5"/>
        <v/>
      </c>
      <c r="J381" s="15" t="str">
        <f>IF(A381="","",IF(COUNTIF(Lists!$A$4:$A$53,C381)&gt;0,"YES","NO"))</f>
        <v/>
      </c>
      <c r="K381" s="15" t="str">
        <f>IF(A381="","",IF(COUNTIF(Lists!$I$4:$I$53,D381)&gt;0,"YES","NO"))</f>
        <v/>
      </c>
    </row>
    <row r="382" spans="1:11" x14ac:dyDescent="0.35">
      <c r="A382" s="12" t="str">
        <f>IF(Form_Raw_Data!A382="","",Form_Raw_Data!A382)</f>
        <v/>
      </c>
      <c r="B382" s="13" t="str">
        <f>IF(A382="","",Form_Raw_Data!B382)</f>
        <v/>
      </c>
      <c r="C382" s="14" t="str">
        <f>IF(A382="","",UPPER(TRIM(Form_Raw_Data!C382)))</f>
        <v/>
      </c>
      <c r="D382" s="14" t="str">
        <f>IF(A382="","",UPPER(TRIM(Form_Raw_Data!D382)))</f>
        <v/>
      </c>
      <c r="E382" s="14" t="str">
        <f>IF(A382="","",TRIM(Form_Raw_Data!E382))</f>
        <v/>
      </c>
      <c r="F382" s="12" t="str">
        <f>IF(A382="","",IF(Form_Raw_Data!F382="","",Form_Raw_Data!F382&amp;""))</f>
        <v/>
      </c>
      <c r="G382" s="14" t="str">
        <f>IF(A382="","",IF(ISNUMBER(Form_Raw_Data!F382),IF(AND(Form_Raw_Data!F382&gt;=0,Form_Raw_Data!F382&lt;=24),Form_Raw_Data!F382,""),""))</f>
        <v/>
      </c>
      <c r="H382" s="14" t="str">
        <f>IF(A382="","",TRIM(Form_Raw_Data!G382))</f>
        <v/>
      </c>
      <c r="I382" s="15" t="str">
        <f t="shared" si="5"/>
        <v/>
      </c>
      <c r="J382" s="15" t="str">
        <f>IF(A382="","",IF(COUNTIF(Lists!$A$4:$A$53,C382)&gt;0,"YES","NO"))</f>
        <v/>
      </c>
      <c r="K382" s="15" t="str">
        <f>IF(A382="","",IF(COUNTIF(Lists!$I$4:$I$53,D382)&gt;0,"YES","NO"))</f>
        <v/>
      </c>
    </row>
    <row r="383" spans="1:11" x14ac:dyDescent="0.35">
      <c r="A383" s="12" t="str">
        <f>IF(Form_Raw_Data!A383="","",Form_Raw_Data!A383)</f>
        <v/>
      </c>
      <c r="B383" s="13" t="str">
        <f>IF(A383="","",Form_Raw_Data!B383)</f>
        <v/>
      </c>
      <c r="C383" s="14" t="str">
        <f>IF(A383="","",UPPER(TRIM(Form_Raw_Data!C383)))</f>
        <v/>
      </c>
      <c r="D383" s="14" t="str">
        <f>IF(A383="","",UPPER(TRIM(Form_Raw_Data!D383)))</f>
        <v/>
      </c>
      <c r="E383" s="14" t="str">
        <f>IF(A383="","",TRIM(Form_Raw_Data!E383))</f>
        <v/>
      </c>
      <c r="F383" s="12" t="str">
        <f>IF(A383="","",IF(Form_Raw_Data!F383="","",Form_Raw_Data!F383&amp;""))</f>
        <v/>
      </c>
      <c r="G383" s="14" t="str">
        <f>IF(A383="","",IF(ISNUMBER(Form_Raw_Data!F383),IF(AND(Form_Raw_Data!F383&gt;=0,Form_Raw_Data!F383&lt;=24),Form_Raw_Data!F383,""),""))</f>
        <v/>
      </c>
      <c r="H383" s="14" t="str">
        <f>IF(A383="","",TRIM(Form_Raw_Data!G383))</f>
        <v/>
      </c>
      <c r="I383" s="15" t="str">
        <f t="shared" si="5"/>
        <v/>
      </c>
      <c r="J383" s="15" t="str">
        <f>IF(A383="","",IF(COUNTIF(Lists!$A$4:$A$53,C383)&gt;0,"YES","NO"))</f>
        <v/>
      </c>
      <c r="K383" s="15" t="str">
        <f>IF(A383="","",IF(COUNTIF(Lists!$I$4:$I$53,D383)&gt;0,"YES","NO"))</f>
        <v/>
      </c>
    </row>
    <row r="384" spans="1:11" x14ac:dyDescent="0.35">
      <c r="A384" s="12" t="str">
        <f>IF(Form_Raw_Data!A384="","",Form_Raw_Data!A384)</f>
        <v/>
      </c>
      <c r="B384" s="13" t="str">
        <f>IF(A384="","",Form_Raw_Data!B384)</f>
        <v/>
      </c>
      <c r="C384" s="14" t="str">
        <f>IF(A384="","",UPPER(TRIM(Form_Raw_Data!C384)))</f>
        <v/>
      </c>
      <c r="D384" s="14" t="str">
        <f>IF(A384="","",UPPER(TRIM(Form_Raw_Data!D384)))</f>
        <v/>
      </c>
      <c r="E384" s="14" t="str">
        <f>IF(A384="","",TRIM(Form_Raw_Data!E384))</f>
        <v/>
      </c>
      <c r="F384" s="12" t="str">
        <f>IF(A384="","",IF(Form_Raw_Data!F384="","",Form_Raw_Data!F384&amp;""))</f>
        <v/>
      </c>
      <c r="G384" s="14" t="str">
        <f>IF(A384="","",IF(ISNUMBER(Form_Raw_Data!F384),IF(AND(Form_Raw_Data!F384&gt;=0,Form_Raw_Data!F384&lt;=24),Form_Raw_Data!F384,""),""))</f>
        <v/>
      </c>
      <c r="H384" s="14" t="str">
        <f>IF(A384="","",TRIM(Form_Raw_Data!G384))</f>
        <v/>
      </c>
      <c r="I384" s="15" t="str">
        <f t="shared" si="5"/>
        <v/>
      </c>
      <c r="J384" s="15" t="str">
        <f>IF(A384="","",IF(COUNTIF(Lists!$A$4:$A$53,C384)&gt;0,"YES","NO"))</f>
        <v/>
      </c>
      <c r="K384" s="15" t="str">
        <f>IF(A384="","",IF(COUNTIF(Lists!$I$4:$I$53,D384)&gt;0,"YES","NO"))</f>
        <v/>
      </c>
    </row>
    <row r="385" spans="1:11" x14ac:dyDescent="0.35">
      <c r="A385" s="12" t="str">
        <f>IF(Form_Raw_Data!A385="","",Form_Raw_Data!A385)</f>
        <v/>
      </c>
      <c r="B385" s="13" t="str">
        <f>IF(A385="","",Form_Raw_Data!B385)</f>
        <v/>
      </c>
      <c r="C385" s="14" t="str">
        <f>IF(A385="","",UPPER(TRIM(Form_Raw_Data!C385)))</f>
        <v/>
      </c>
      <c r="D385" s="14" t="str">
        <f>IF(A385="","",UPPER(TRIM(Form_Raw_Data!D385)))</f>
        <v/>
      </c>
      <c r="E385" s="14" t="str">
        <f>IF(A385="","",TRIM(Form_Raw_Data!E385))</f>
        <v/>
      </c>
      <c r="F385" s="12" t="str">
        <f>IF(A385="","",IF(Form_Raw_Data!F385="","",Form_Raw_Data!F385&amp;""))</f>
        <v/>
      </c>
      <c r="G385" s="14" t="str">
        <f>IF(A385="","",IF(ISNUMBER(Form_Raw_Data!F385),IF(AND(Form_Raw_Data!F385&gt;=0,Form_Raw_Data!F385&lt;=24),Form_Raw_Data!F385,""),""))</f>
        <v/>
      </c>
      <c r="H385" s="14" t="str">
        <f>IF(A385="","",TRIM(Form_Raw_Data!G385))</f>
        <v/>
      </c>
      <c r="I385" s="15" t="str">
        <f t="shared" si="5"/>
        <v/>
      </c>
      <c r="J385" s="15" t="str">
        <f>IF(A385="","",IF(COUNTIF(Lists!$A$4:$A$53,C385)&gt;0,"YES","NO"))</f>
        <v/>
      </c>
      <c r="K385" s="15" t="str">
        <f>IF(A385="","",IF(COUNTIF(Lists!$I$4:$I$53,D385)&gt;0,"YES","NO"))</f>
        <v/>
      </c>
    </row>
    <row r="386" spans="1:11" x14ac:dyDescent="0.35">
      <c r="A386" s="12" t="str">
        <f>IF(Form_Raw_Data!A386="","",Form_Raw_Data!A386)</f>
        <v/>
      </c>
      <c r="B386" s="13" t="str">
        <f>IF(A386="","",Form_Raw_Data!B386)</f>
        <v/>
      </c>
      <c r="C386" s="14" t="str">
        <f>IF(A386="","",UPPER(TRIM(Form_Raw_Data!C386)))</f>
        <v/>
      </c>
      <c r="D386" s="14" t="str">
        <f>IF(A386="","",UPPER(TRIM(Form_Raw_Data!D386)))</f>
        <v/>
      </c>
      <c r="E386" s="14" t="str">
        <f>IF(A386="","",TRIM(Form_Raw_Data!E386))</f>
        <v/>
      </c>
      <c r="F386" s="12" t="str">
        <f>IF(A386="","",IF(Form_Raw_Data!F386="","",Form_Raw_Data!F386&amp;""))</f>
        <v/>
      </c>
      <c r="G386" s="14" t="str">
        <f>IF(A386="","",IF(ISNUMBER(Form_Raw_Data!F386),IF(AND(Form_Raw_Data!F386&gt;=0,Form_Raw_Data!F386&lt;=24),Form_Raw_Data!F386,""),""))</f>
        <v/>
      </c>
      <c r="H386" s="14" t="str">
        <f>IF(A386="","",TRIM(Form_Raw_Data!G386))</f>
        <v/>
      </c>
      <c r="I386" s="15" t="str">
        <f t="shared" si="5"/>
        <v/>
      </c>
      <c r="J386" s="15" t="str">
        <f>IF(A386="","",IF(COUNTIF(Lists!$A$4:$A$53,C386)&gt;0,"YES","NO"))</f>
        <v/>
      </c>
      <c r="K386" s="15" t="str">
        <f>IF(A386="","",IF(COUNTIF(Lists!$I$4:$I$53,D386)&gt;0,"YES","NO"))</f>
        <v/>
      </c>
    </row>
    <row r="387" spans="1:11" x14ac:dyDescent="0.35">
      <c r="A387" s="12" t="str">
        <f>IF(Form_Raw_Data!A387="","",Form_Raw_Data!A387)</f>
        <v/>
      </c>
      <c r="B387" s="13" t="str">
        <f>IF(A387="","",Form_Raw_Data!B387)</f>
        <v/>
      </c>
      <c r="C387" s="14" t="str">
        <f>IF(A387="","",UPPER(TRIM(Form_Raw_Data!C387)))</f>
        <v/>
      </c>
      <c r="D387" s="14" t="str">
        <f>IF(A387="","",UPPER(TRIM(Form_Raw_Data!D387)))</f>
        <v/>
      </c>
      <c r="E387" s="14" t="str">
        <f>IF(A387="","",TRIM(Form_Raw_Data!E387))</f>
        <v/>
      </c>
      <c r="F387" s="12" t="str">
        <f>IF(A387="","",IF(Form_Raw_Data!F387="","",Form_Raw_Data!F387&amp;""))</f>
        <v/>
      </c>
      <c r="G387" s="14" t="str">
        <f>IF(A387="","",IF(ISNUMBER(Form_Raw_Data!F387),IF(AND(Form_Raw_Data!F387&gt;=0,Form_Raw_Data!F387&lt;=24),Form_Raw_Data!F387,""),""))</f>
        <v/>
      </c>
      <c r="H387" s="14" t="str">
        <f>IF(A387="","",TRIM(Form_Raw_Data!G387))</f>
        <v/>
      </c>
      <c r="I387" s="15" t="str">
        <f t="shared" si="5"/>
        <v/>
      </c>
      <c r="J387" s="15" t="str">
        <f>IF(A387="","",IF(COUNTIF(Lists!$A$4:$A$53,C387)&gt;0,"YES","NO"))</f>
        <v/>
      </c>
      <c r="K387" s="15" t="str">
        <f>IF(A387="","",IF(COUNTIF(Lists!$I$4:$I$53,D387)&gt;0,"YES","NO"))</f>
        <v/>
      </c>
    </row>
    <row r="388" spans="1:11" x14ac:dyDescent="0.35">
      <c r="A388" s="12" t="str">
        <f>IF(Form_Raw_Data!A388="","",Form_Raw_Data!A388)</f>
        <v/>
      </c>
      <c r="B388" s="13" t="str">
        <f>IF(A388="","",Form_Raw_Data!B388)</f>
        <v/>
      </c>
      <c r="C388" s="14" t="str">
        <f>IF(A388="","",UPPER(TRIM(Form_Raw_Data!C388)))</f>
        <v/>
      </c>
      <c r="D388" s="14" t="str">
        <f>IF(A388="","",UPPER(TRIM(Form_Raw_Data!D388)))</f>
        <v/>
      </c>
      <c r="E388" s="14" t="str">
        <f>IF(A388="","",TRIM(Form_Raw_Data!E388))</f>
        <v/>
      </c>
      <c r="F388" s="12" t="str">
        <f>IF(A388="","",IF(Form_Raw_Data!F388="","",Form_Raw_Data!F388&amp;""))</f>
        <v/>
      </c>
      <c r="G388" s="14" t="str">
        <f>IF(A388="","",IF(ISNUMBER(Form_Raw_Data!F388),IF(AND(Form_Raw_Data!F388&gt;=0,Form_Raw_Data!F388&lt;=24),Form_Raw_Data!F388,""),""))</f>
        <v/>
      </c>
      <c r="H388" s="14" t="str">
        <f>IF(A388="","",TRIM(Form_Raw_Data!G388))</f>
        <v/>
      </c>
      <c r="I388" s="15" t="str">
        <f t="shared" ref="I388:I451" si="6">IF(A388="","",IF(OR(C388="",D388="",E388="",H388="",G388=""),"ERROR","OK"))</f>
        <v/>
      </c>
      <c r="J388" s="15" t="str">
        <f>IF(A388="","",IF(COUNTIF(Lists!$A$4:$A$53,C388)&gt;0,"YES","NO"))</f>
        <v/>
      </c>
      <c r="K388" s="15" t="str">
        <f>IF(A388="","",IF(COUNTIF(Lists!$I$4:$I$53,D388)&gt;0,"YES","NO"))</f>
        <v/>
      </c>
    </row>
    <row r="389" spans="1:11" x14ac:dyDescent="0.35">
      <c r="A389" s="12" t="str">
        <f>IF(Form_Raw_Data!A389="","",Form_Raw_Data!A389)</f>
        <v/>
      </c>
      <c r="B389" s="13" t="str">
        <f>IF(A389="","",Form_Raw_Data!B389)</f>
        <v/>
      </c>
      <c r="C389" s="14" t="str">
        <f>IF(A389="","",UPPER(TRIM(Form_Raw_Data!C389)))</f>
        <v/>
      </c>
      <c r="D389" s="14" t="str">
        <f>IF(A389="","",UPPER(TRIM(Form_Raw_Data!D389)))</f>
        <v/>
      </c>
      <c r="E389" s="14" t="str">
        <f>IF(A389="","",TRIM(Form_Raw_Data!E389))</f>
        <v/>
      </c>
      <c r="F389" s="12" t="str">
        <f>IF(A389="","",IF(Form_Raw_Data!F389="","",Form_Raw_Data!F389&amp;""))</f>
        <v/>
      </c>
      <c r="G389" s="14" t="str">
        <f>IF(A389="","",IF(ISNUMBER(Form_Raw_Data!F389),IF(AND(Form_Raw_Data!F389&gt;=0,Form_Raw_Data!F389&lt;=24),Form_Raw_Data!F389,""),""))</f>
        <v/>
      </c>
      <c r="H389" s="14" t="str">
        <f>IF(A389="","",TRIM(Form_Raw_Data!G389))</f>
        <v/>
      </c>
      <c r="I389" s="15" t="str">
        <f t="shared" si="6"/>
        <v/>
      </c>
      <c r="J389" s="15" t="str">
        <f>IF(A389="","",IF(COUNTIF(Lists!$A$4:$A$53,C389)&gt;0,"YES","NO"))</f>
        <v/>
      </c>
      <c r="K389" s="15" t="str">
        <f>IF(A389="","",IF(COUNTIF(Lists!$I$4:$I$53,D389)&gt;0,"YES","NO"))</f>
        <v/>
      </c>
    </row>
    <row r="390" spans="1:11" x14ac:dyDescent="0.35">
      <c r="A390" s="12" t="str">
        <f>IF(Form_Raw_Data!A390="","",Form_Raw_Data!A390)</f>
        <v/>
      </c>
      <c r="B390" s="13" t="str">
        <f>IF(A390="","",Form_Raw_Data!B390)</f>
        <v/>
      </c>
      <c r="C390" s="14" t="str">
        <f>IF(A390="","",UPPER(TRIM(Form_Raw_Data!C390)))</f>
        <v/>
      </c>
      <c r="D390" s="14" t="str">
        <f>IF(A390="","",UPPER(TRIM(Form_Raw_Data!D390)))</f>
        <v/>
      </c>
      <c r="E390" s="14" t="str">
        <f>IF(A390="","",TRIM(Form_Raw_Data!E390))</f>
        <v/>
      </c>
      <c r="F390" s="12" t="str">
        <f>IF(A390="","",IF(Form_Raw_Data!F390="","",Form_Raw_Data!F390&amp;""))</f>
        <v/>
      </c>
      <c r="G390" s="14" t="str">
        <f>IF(A390="","",IF(ISNUMBER(Form_Raw_Data!F390),IF(AND(Form_Raw_Data!F390&gt;=0,Form_Raw_Data!F390&lt;=24),Form_Raw_Data!F390,""),""))</f>
        <v/>
      </c>
      <c r="H390" s="14" t="str">
        <f>IF(A390="","",TRIM(Form_Raw_Data!G390))</f>
        <v/>
      </c>
      <c r="I390" s="15" t="str">
        <f t="shared" si="6"/>
        <v/>
      </c>
      <c r="J390" s="15" t="str">
        <f>IF(A390="","",IF(COUNTIF(Lists!$A$4:$A$53,C390)&gt;0,"YES","NO"))</f>
        <v/>
      </c>
      <c r="K390" s="15" t="str">
        <f>IF(A390="","",IF(COUNTIF(Lists!$I$4:$I$53,D390)&gt;0,"YES","NO"))</f>
        <v/>
      </c>
    </row>
    <row r="391" spans="1:11" x14ac:dyDescent="0.35">
      <c r="A391" s="12" t="str">
        <f>IF(Form_Raw_Data!A391="","",Form_Raw_Data!A391)</f>
        <v/>
      </c>
      <c r="B391" s="13" t="str">
        <f>IF(A391="","",Form_Raw_Data!B391)</f>
        <v/>
      </c>
      <c r="C391" s="14" t="str">
        <f>IF(A391="","",UPPER(TRIM(Form_Raw_Data!C391)))</f>
        <v/>
      </c>
      <c r="D391" s="14" t="str">
        <f>IF(A391="","",UPPER(TRIM(Form_Raw_Data!D391)))</f>
        <v/>
      </c>
      <c r="E391" s="14" t="str">
        <f>IF(A391="","",TRIM(Form_Raw_Data!E391))</f>
        <v/>
      </c>
      <c r="F391" s="12" t="str">
        <f>IF(A391="","",IF(Form_Raw_Data!F391="","",Form_Raw_Data!F391&amp;""))</f>
        <v/>
      </c>
      <c r="G391" s="14" t="str">
        <f>IF(A391="","",IF(ISNUMBER(Form_Raw_Data!F391),IF(AND(Form_Raw_Data!F391&gt;=0,Form_Raw_Data!F391&lt;=24),Form_Raw_Data!F391,""),""))</f>
        <v/>
      </c>
      <c r="H391" s="14" t="str">
        <f>IF(A391="","",TRIM(Form_Raw_Data!G391))</f>
        <v/>
      </c>
      <c r="I391" s="15" t="str">
        <f t="shared" si="6"/>
        <v/>
      </c>
      <c r="J391" s="15" t="str">
        <f>IF(A391="","",IF(COUNTIF(Lists!$A$4:$A$53,C391)&gt;0,"YES","NO"))</f>
        <v/>
      </c>
      <c r="K391" s="15" t="str">
        <f>IF(A391="","",IF(COUNTIF(Lists!$I$4:$I$53,D391)&gt;0,"YES","NO"))</f>
        <v/>
      </c>
    </row>
    <row r="392" spans="1:11" x14ac:dyDescent="0.35">
      <c r="A392" s="12" t="str">
        <f>IF(Form_Raw_Data!A392="","",Form_Raw_Data!A392)</f>
        <v/>
      </c>
      <c r="B392" s="13" t="str">
        <f>IF(A392="","",Form_Raw_Data!B392)</f>
        <v/>
      </c>
      <c r="C392" s="14" t="str">
        <f>IF(A392="","",UPPER(TRIM(Form_Raw_Data!C392)))</f>
        <v/>
      </c>
      <c r="D392" s="14" t="str">
        <f>IF(A392="","",UPPER(TRIM(Form_Raw_Data!D392)))</f>
        <v/>
      </c>
      <c r="E392" s="14" t="str">
        <f>IF(A392="","",TRIM(Form_Raw_Data!E392))</f>
        <v/>
      </c>
      <c r="F392" s="12" t="str">
        <f>IF(A392="","",IF(Form_Raw_Data!F392="","",Form_Raw_Data!F392&amp;""))</f>
        <v/>
      </c>
      <c r="G392" s="14" t="str">
        <f>IF(A392="","",IF(ISNUMBER(Form_Raw_Data!F392),IF(AND(Form_Raw_Data!F392&gt;=0,Form_Raw_Data!F392&lt;=24),Form_Raw_Data!F392,""),""))</f>
        <v/>
      </c>
      <c r="H392" s="14" t="str">
        <f>IF(A392="","",TRIM(Form_Raw_Data!G392))</f>
        <v/>
      </c>
      <c r="I392" s="15" t="str">
        <f t="shared" si="6"/>
        <v/>
      </c>
      <c r="J392" s="15" t="str">
        <f>IF(A392="","",IF(COUNTIF(Lists!$A$4:$A$53,C392)&gt;0,"YES","NO"))</f>
        <v/>
      </c>
      <c r="K392" s="15" t="str">
        <f>IF(A392="","",IF(COUNTIF(Lists!$I$4:$I$53,D392)&gt;0,"YES","NO"))</f>
        <v/>
      </c>
    </row>
    <row r="393" spans="1:11" x14ac:dyDescent="0.35">
      <c r="A393" s="12" t="str">
        <f>IF(Form_Raw_Data!A393="","",Form_Raw_Data!A393)</f>
        <v/>
      </c>
      <c r="B393" s="13" t="str">
        <f>IF(A393="","",Form_Raw_Data!B393)</f>
        <v/>
      </c>
      <c r="C393" s="14" t="str">
        <f>IF(A393="","",UPPER(TRIM(Form_Raw_Data!C393)))</f>
        <v/>
      </c>
      <c r="D393" s="14" t="str">
        <f>IF(A393="","",UPPER(TRIM(Form_Raw_Data!D393)))</f>
        <v/>
      </c>
      <c r="E393" s="14" t="str">
        <f>IF(A393="","",TRIM(Form_Raw_Data!E393))</f>
        <v/>
      </c>
      <c r="F393" s="12" t="str">
        <f>IF(A393="","",IF(Form_Raw_Data!F393="","",Form_Raw_Data!F393&amp;""))</f>
        <v/>
      </c>
      <c r="G393" s="14" t="str">
        <f>IF(A393="","",IF(ISNUMBER(Form_Raw_Data!F393),IF(AND(Form_Raw_Data!F393&gt;=0,Form_Raw_Data!F393&lt;=24),Form_Raw_Data!F393,""),""))</f>
        <v/>
      </c>
      <c r="H393" s="14" t="str">
        <f>IF(A393="","",TRIM(Form_Raw_Data!G393))</f>
        <v/>
      </c>
      <c r="I393" s="15" t="str">
        <f t="shared" si="6"/>
        <v/>
      </c>
      <c r="J393" s="15" t="str">
        <f>IF(A393="","",IF(COUNTIF(Lists!$A$4:$A$53,C393)&gt;0,"YES","NO"))</f>
        <v/>
      </c>
      <c r="K393" s="15" t="str">
        <f>IF(A393="","",IF(COUNTIF(Lists!$I$4:$I$53,D393)&gt;0,"YES","NO"))</f>
        <v/>
      </c>
    </row>
    <row r="394" spans="1:11" x14ac:dyDescent="0.35">
      <c r="A394" s="12" t="str">
        <f>IF(Form_Raw_Data!A394="","",Form_Raw_Data!A394)</f>
        <v/>
      </c>
      <c r="B394" s="13" t="str">
        <f>IF(A394="","",Form_Raw_Data!B394)</f>
        <v/>
      </c>
      <c r="C394" s="14" t="str">
        <f>IF(A394="","",UPPER(TRIM(Form_Raw_Data!C394)))</f>
        <v/>
      </c>
      <c r="D394" s="14" t="str">
        <f>IF(A394="","",UPPER(TRIM(Form_Raw_Data!D394)))</f>
        <v/>
      </c>
      <c r="E394" s="14" t="str">
        <f>IF(A394="","",TRIM(Form_Raw_Data!E394))</f>
        <v/>
      </c>
      <c r="F394" s="12" t="str">
        <f>IF(A394="","",IF(Form_Raw_Data!F394="","",Form_Raw_Data!F394&amp;""))</f>
        <v/>
      </c>
      <c r="G394" s="14" t="str">
        <f>IF(A394="","",IF(ISNUMBER(Form_Raw_Data!F394),IF(AND(Form_Raw_Data!F394&gt;=0,Form_Raw_Data!F394&lt;=24),Form_Raw_Data!F394,""),""))</f>
        <v/>
      </c>
      <c r="H394" s="14" t="str">
        <f>IF(A394="","",TRIM(Form_Raw_Data!G394))</f>
        <v/>
      </c>
      <c r="I394" s="15" t="str">
        <f t="shared" si="6"/>
        <v/>
      </c>
      <c r="J394" s="15" t="str">
        <f>IF(A394="","",IF(COUNTIF(Lists!$A$4:$A$53,C394)&gt;0,"YES","NO"))</f>
        <v/>
      </c>
      <c r="K394" s="15" t="str">
        <f>IF(A394="","",IF(COUNTIF(Lists!$I$4:$I$53,D394)&gt;0,"YES","NO"))</f>
        <v/>
      </c>
    </row>
    <row r="395" spans="1:11" x14ac:dyDescent="0.35">
      <c r="A395" s="12" t="str">
        <f>IF(Form_Raw_Data!A395="","",Form_Raw_Data!A395)</f>
        <v/>
      </c>
      <c r="B395" s="13" t="str">
        <f>IF(A395="","",Form_Raw_Data!B395)</f>
        <v/>
      </c>
      <c r="C395" s="14" t="str">
        <f>IF(A395="","",UPPER(TRIM(Form_Raw_Data!C395)))</f>
        <v/>
      </c>
      <c r="D395" s="14" t="str">
        <f>IF(A395="","",UPPER(TRIM(Form_Raw_Data!D395)))</f>
        <v/>
      </c>
      <c r="E395" s="14" t="str">
        <f>IF(A395="","",TRIM(Form_Raw_Data!E395))</f>
        <v/>
      </c>
      <c r="F395" s="12" t="str">
        <f>IF(A395="","",IF(Form_Raw_Data!F395="","",Form_Raw_Data!F395&amp;""))</f>
        <v/>
      </c>
      <c r="G395" s="14" t="str">
        <f>IF(A395="","",IF(ISNUMBER(Form_Raw_Data!F395),IF(AND(Form_Raw_Data!F395&gt;=0,Form_Raw_Data!F395&lt;=24),Form_Raw_Data!F395,""),""))</f>
        <v/>
      </c>
      <c r="H395" s="14" t="str">
        <f>IF(A395="","",TRIM(Form_Raw_Data!G395))</f>
        <v/>
      </c>
      <c r="I395" s="15" t="str">
        <f t="shared" si="6"/>
        <v/>
      </c>
      <c r="J395" s="15" t="str">
        <f>IF(A395="","",IF(COUNTIF(Lists!$A$4:$A$53,C395)&gt;0,"YES","NO"))</f>
        <v/>
      </c>
      <c r="K395" s="15" t="str">
        <f>IF(A395="","",IF(COUNTIF(Lists!$I$4:$I$53,D395)&gt;0,"YES","NO"))</f>
        <v/>
      </c>
    </row>
    <row r="396" spans="1:11" x14ac:dyDescent="0.35">
      <c r="A396" s="12" t="str">
        <f>IF(Form_Raw_Data!A396="","",Form_Raw_Data!A396)</f>
        <v/>
      </c>
      <c r="B396" s="13" t="str">
        <f>IF(A396="","",Form_Raw_Data!B396)</f>
        <v/>
      </c>
      <c r="C396" s="14" t="str">
        <f>IF(A396="","",UPPER(TRIM(Form_Raw_Data!C396)))</f>
        <v/>
      </c>
      <c r="D396" s="14" t="str">
        <f>IF(A396="","",UPPER(TRIM(Form_Raw_Data!D396)))</f>
        <v/>
      </c>
      <c r="E396" s="14" t="str">
        <f>IF(A396="","",TRIM(Form_Raw_Data!E396))</f>
        <v/>
      </c>
      <c r="F396" s="12" t="str">
        <f>IF(A396="","",IF(Form_Raw_Data!F396="","",Form_Raw_Data!F396&amp;""))</f>
        <v/>
      </c>
      <c r="G396" s="14" t="str">
        <f>IF(A396="","",IF(ISNUMBER(Form_Raw_Data!F396),IF(AND(Form_Raw_Data!F396&gt;=0,Form_Raw_Data!F396&lt;=24),Form_Raw_Data!F396,""),""))</f>
        <v/>
      </c>
      <c r="H396" s="14" t="str">
        <f>IF(A396="","",TRIM(Form_Raw_Data!G396))</f>
        <v/>
      </c>
      <c r="I396" s="15" t="str">
        <f t="shared" si="6"/>
        <v/>
      </c>
      <c r="J396" s="15" t="str">
        <f>IF(A396="","",IF(COUNTIF(Lists!$A$4:$A$53,C396)&gt;0,"YES","NO"))</f>
        <v/>
      </c>
      <c r="K396" s="15" t="str">
        <f>IF(A396="","",IF(COUNTIF(Lists!$I$4:$I$53,D396)&gt;0,"YES","NO"))</f>
        <v/>
      </c>
    </row>
    <row r="397" spans="1:11" x14ac:dyDescent="0.35">
      <c r="A397" s="12" t="str">
        <f>IF(Form_Raw_Data!A397="","",Form_Raw_Data!A397)</f>
        <v/>
      </c>
      <c r="B397" s="13" t="str">
        <f>IF(A397="","",Form_Raw_Data!B397)</f>
        <v/>
      </c>
      <c r="C397" s="14" t="str">
        <f>IF(A397="","",UPPER(TRIM(Form_Raw_Data!C397)))</f>
        <v/>
      </c>
      <c r="D397" s="14" t="str">
        <f>IF(A397="","",UPPER(TRIM(Form_Raw_Data!D397)))</f>
        <v/>
      </c>
      <c r="E397" s="14" t="str">
        <f>IF(A397="","",TRIM(Form_Raw_Data!E397))</f>
        <v/>
      </c>
      <c r="F397" s="12" t="str">
        <f>IF(A397="","",IF(Form_Raw_Data!F397="","",Form_Raw_Data!F397&amp;""))</f>
        <v/>
      </c>
      <c r="G397" s="14" t="str">
        <f>IF(A397="","",IF(ISNUMBER(Form_Raw_Data!F397),IF(AND(Form_Raw_Data!F397&gt;=0,Form_Raw_Data!F397&lt;=24),Form_Raw_Data!F397,""),""))</f>
        <v/>
      </c>
      <c r="H397" s="14" t="str">
        <f>IF(A397="","",TRIM(Form_Raw_Data!G397))</f>
        <v/>
      </c>
      <c r="I397" s="15" t="str">
        <f t="shared" si="6"/>
        <v/>
      </c>
      <c r="J397" s="15" t="str">
        <f>IF(A397="","",IF(COUNTIF(Lists!$A$4:$A$53,C397)&gt;0,"YES","NO"))</f>
        <v/>
      </c>
      <c r="K397" s="15" t="str">
        <f>IF(A397="","",IF(COUNTIF(Lists!$I$4:$I$53,D397)&gt;0,"YES","NO"))</f>
        <v/>
      </c>
    </row>
    <row r="398" spans="1:11" x14ac:dyDescent="0.35">
      <c r="A398" s="12" t="str">
        <f>IF(Form_Raw_Data!A398="","",Form_Raw_Data!A398)</f>
        <v/>
      </c>
      <c r="B398" s="13" t="str">
        <f>IF(A398="","",Form_Raw_Data!B398)</f>
        <v/>
      </c>
      <c r="C398" s="14" t="str">
        <f>IF(A398="","",UPPER(TRIM(Form_Raw_Data!C398)))</f>
        <v/>
      </c>
      <c r="D398" s="14" t="str">
        <f>IF(A398="","",UPPER(TRIM(Form_Raw_Data!D398)))</f>
        <v/>
      </c>
      <c r="E398" s="14" t="str">
        <f>IF(A398="","",TRIM(Form_Raw_Data!E398))</f>
        <v/>
      </c>
      <c r="F398" s="12" t="str">
        <f>IF(A398="","",IF(Form_Raw_Data!F398="","",Form_Raw_Data!F398&amp;""))</f>
        <v/>
      </c>
      <c r="G398" s="14" t="str">
        <f>IF(A398="","",IF(ISNUMBER(Form_Raw_Data!F398),IF(AND(Form_Raw_Data!F398&gt;=0,Form_Raw_Data!F398&lt;=24),Form_Raw_Data!F398,""),""))</f>
        <v/>
      </c>
      <c r="H398" s="14" t="str">
        <f>IF(A398="","",TRIM(Form_Raw_Data!G398))</f>
        <v/>
      </c>
      <c r="I398" s="15" t="str">
        <f t="shared" si="6"/>
        <v/>
      </c>
      <c r="J398" s="15" t="str">
        <f>IF(A398="","",IF(COUNTIF(Lists!$A$4:$A$53,C398)&gt;0,"YES","NO"))</f>
        <v/>
      </c>
      <c r="K398" s="15" t="str">
        <f>IF(A398="","",IF(COUNTIF(Lists!$I$4:$I$53,D398)&gt;0,"YES","NO"))</f>
        <v/>
      </c>
    </row>
    <row r="399" spans="1:11" x14ac:dyDescent="0.35">
      <c r="A399" s="12" t="str">
        <f>IF(Form_Raw_Data!A399="","",Form_Raw_Data!A399)</f>
        <v/>
      </c>
      <c r="B399" s="13" t="str">
        <f>IF(A399="","",Form_Raw_Data!B399)</f>
        <v/>
      </c>
      <c r="C399" s="14" t="str">
        <f>IF(A399="","",UPPER(TRIM(Form_Raw_Data!C399)))</f>
        <v/>
      </c>
      <c r="D399" s="14" t="str">
        <f>IF(A399="","",UPPER(TRIM(Form_Raw_Data!D399)))</f>
        <v/>
      </c>
      <c r="E399" s="14" t="str">
        <f>IF(A399="","",TRIM(Form_Raw_Data!E399))</f>
        <v/>
      </c>
      <c r="F399" s="12" t="str">
        <f>IF(A399="","",IF(Form_Raw_Data!F399="","",Form_Raw_Data!F399&amp;""))</f>
        <v/>
      </c>
      <c r="G399" s="14" t="str">
        <f>IF(A399="","",IF(ISNUMBER(Form_Raw_Data!F399),IF(AND(Form_Raw_Data!F399&gt;=0,Form_Raw_Data!F399&lt;=24),Form_Raw_Data!F399,""),""))</f>
        <v/>
      </c>
      <c r="H399" s="14" t="str">
        <f>IF(A399="","",TRIM(Form_Raw_Data!G399))</f>
        <v/>
      </c>
      <c r="I399" s="15" t="str">
        <f t="shared" si="6"/>
        <v/>
      </c>
      <c r="J399" s="15" t="str">
        <f>IF(A399="","",IF(COUNTIF(Lists!$A$4:$A$53,C399)&gt;0,"YES","NO"))</f>
        <v/>
      </c>
      <c r="K399" s="15" t="str">
        <f>IF(A399="","",IF(COUNTIF(Lists!$I$4:$I$53,D399)&gt;0,"YES","NO"))</f>
        <v/>
      </c>
    </row>
    <row r="400" spans="1:11" x14ac:dyDescent="0.35">
      <c r="A400" s="12" t="str">
        <f>IF(Form_Raw_Data!A400="","",Form_Raw_Data!A400)</f>
        <v/>
      </c>
      <c r="B400" s="13" t="str">
        <f>IF(A400="","",Form_Raw_Data!B400)</f>
        <v/>
      </c>
      <c r="C400" s="14" t="str">
        <f>IF(A400="","",UPPER(TRIM(Form_Raw_Data!C400)))</f>
        <v/>
      </c>
      <c r="D400" s="14" t="str">
        <f>IF(A400="","",UPPER(TRIM(Form_Raw_Data!D400)))</f>
        <v/>
      </c>
      <c r="E400" s="14" t="str">
        <f>IF(A400="","",TRIM(Form_Raw_Data!E400))</f>
        <v/>
      </c>
      <c r="F400" s="12" t="str">
        <f>IF(A400="","",IF(Form_Raw_Data!F400="","",Form_Raw_Data!F400&amp;""))</f>
        <v/>
      </c>
      <c r="G400" s="14" t="str">
        <f>IF(A400="","",IF(ISNUMBER(Form_Raw_Data!F400),IF(AND(Form_Raw_Data!F400&gt;=0,Form_Raw_Data!F400&lt;=24),Form_Raw_Data!F400,""),""))</f>
        <v/>
      </c>
      <c r="H400" s="14" t="str">
        <f>IF(A400="","",TRIM(Form_Raw_Data!G400))</f>
        <v/>
      </c>
      <c r="I400" s="15" t="str">
        <f t="shared" si="6"/>
        <v/>
      </c>
      <c r="J400" s="15" t="str">
        <f>IF(A400="","",IF(COUNTIF(Lists!$A$4:$A$53,C400)&gt;0,"YES","NO"))</f>
        <v/>
      </c>
      <c r="K400" s="15" t="str">
        <f>IF(A400="","",IF(COUNTIF(Lists!$I$4:$I$53,D400)&gt;0,"YES","NO"))</f>
        <v/>
      </c>
    </row>
    <row r="401" spans="1:11" x14ac:dyDescent="0.35">
      <c r="A401" s="12" t="str">
        <f>IF(Form_Raw_Data!A401="","",Form_Raw_Data!A401)</f>
        <v/>
      </c>
      <c r="B401" s="13" t="str">
        <f>IF(A401="","",Form_Raw_Data!B401)</f>
        <v/>
      </c>
      <c r="C401" s="14" t="str">
        <f>IF(A401="","",UPPER(TRIM(Form_Raw_Data!C401)))</f>
        <v/>
      </c>
      <c r="D401" s="14" t="str">
        <f>IF(A401="","",UPPER(TRIM(Form_Raw_Data!D401)))</f>
        <v/>
      </c>
      <c r="E401" s="14" t="str">
        <f>IF(A401="","",TRIM(Form_Raw_Data!E401))</f>
        <v/>
      </c>
      <c r="F401" s="12" t="str">
        <f>IF(A401="","",IF(Form_Raw_Data!F401="","",Form_Raw_Data!F401&amp;""))</f>
        <v/>
      </c>
      <c r="G401" s="14" t="str">
        <f>IF(A401="","",IF(ISNUMBER(Form_Raw_Data!F401),IF(AND(Form_Raw_Data!F401&gt;=0,Form_Raw_Data!F401&lt;=24),Form_Raw_Data!F401,""),""))</f>
        <v/>
      </c>
      <c r="H401" s="14" t="str">
        <f>IF(A401="","",TRIM(Form_Raw_Data!G401))</f>
        <v/>
      </c>
      <c r="I401" s="15" t="str">
        <f t="shared" si="6"/>
        <v/>
      </c>
      <c r="J401" s="15" t="str">
        <f>IF(A401="","",IF(COUNTIF(Lists!$A$4:$A$53,C401)&gt;0,"YES","NO"))</f>
        <v/>
      </c>
      <c r="K401" s="15" t="str">
        <f>IF(A401="","",IF(COUNTIF(Lists!$I$4:$I$53,D401)&gt;0,"YES","NO"))</f>
        <v/>
      </c>
    </row>
    <row r="402" spans="1:11" x14ac:dyDescent="0.35">
      <c r="A402" s="12" t="str">
        <f>IF(Form_Raw_Data!A402="","",Form_Raw_Data!A402)</f>
        <v/>
      </c>
      <c r="B402" s="13" t="str">
        <f>IF(A402="","",Form_Raw_Data!B402)</f>
        <v/>
      </c>
      <c r="C402" s="14" t="str">
        <f>IF(A402="","",UPPER(TRIM(Form_Raw_Data!C402)))</f>
        <v/>
      </c>
      <c r="D402" s="14" t="str">
        <f>IF(A402="","",UPPER(TRIM(Form_Raw_Data!D402)))</f>
        <v/>
      </c>
      <c r="E402" s="14" t="str">
        <f>IF(A402="","",TRIM(Form_Raw_Data!E402))</f>
        <v/>
      </c>
      <c r="F402" s="12" t="str">
        <f>IF(A402="","",IF(Form_Raw_Data!F402="","",Form_Raw_Data!F402&amp;""))</f>
        <v/>
      </c>
      <c r="G402" s="14" t="str">
        <f>IF(A402="","",IF(ISNUMBER(Form_Raw_Data!F402),IF(AND(Form_Raw_Data!F402&gt;=0,Form_Raw_Data!F402&lt;=24),Form_Raw_Data!F402,""),""))</f>
        <v/>
      </c>
      <c r="H402" s="14" t="str">
        <f>IF(A402="","",TRIM(Form_Raw_Data!G402))</f>
        <v/>
      </c>
      <c r="I402" s="15" t="str">
        <f t="shared" si="6"/>
        <v/>
      </c>
      <c r="J402" s="15" t="str">
        <f>IF(A402="","",IF(COUNTIF(Lists!$A$4:$A$53,C402)&gt;0,"YES","NO"))</f>
        <v/>
      </c>
      <c r="K402" s="15" t="str">
        <f>IF(A402="","",IF(COUNTIF(Lists!$I$4:$I$53,D402)&gt;0,"YES","NO"))</f>
        <v/>
      </c>
    </row>
    <row r="403" spans="1:11" x14ac:dyDescent="0.35">
      <c r="A403" s="12" t="str">
        <f>IF(Form_Raw_Data!A403="","",Form_Raw_Data!A403)</f>
        <v/>
      </c>
      <c r="B403" s="13" t="str">
        <f>IF(A403="","",Form_Raw_Data!B403)</f>
        <v/>
      </c>
      <c r="C403" s="14" t="str">
        <f>IF(A403="","",UPPER(TRIM(Form_Raw_Data!C403)))</f>
        <v/>
      </c>
      <c r="D403" s="14" t="str">
        <f>IF(A403="","",UPPER(TRIM(Form_Raw_Data!D403)))</f>
        <v/>
      </c>
      <c r="E403" s="14" t="str">
        <f>IF(A403="","",TRIM(Form_Raw_Data!E403))</f>
        <v/>
      </c>
      <c r="F403" s="12" t="str">
        <f>IF(A403="","",IF(Form_Raw_Data!F403="","",Form_Raw_Data!F403&amp;""))</f>
        <v/>
      </c>
      <c r="G403" s="14" t="str">
        <f>IF(A403="","",IF(ISNUMBER(Form_Raw_Data!F403),IF(AND(Form_Raw_Data!F403&gt;=0,Form_Raw_Data!F403&lt;=24),Form_Raw_Data!F403,""),""))</f>
        <v/>
      </c>
      <c r="H403" s="14" t="str">
        <f>IF(A403="","",TRIM(Form_Raw_Data!G403))</f>
        <v/>
      </c>
      <c r="I403" s="15" t="str">
        <f t="shared" si="6"/>
        <v/>
      </c>
      <c r="J403" s="15" t="str">
        <f>IF(A403="","",IF(COUNTIF(Lists!$A$4:$A$53,C403)&gt;0,"YES","NO"))</f>
        <v/>
      </c>
      <c r="K403" s="15" t="str">
        <f>IF(A403="","",IF(COUNTIF(Lists!$I$4:$I$53,D403)&gt;0,"YES","NO"))</f>
        <v/>
      </c>
    </row>
    <row r="404" spans="1:11" x14ac:dyDescent="0.35">
      <c r="A404" s="12" t="str">
        <f>IF(Form_Raw_Data!A404="","",Form_Raw_Data!A404)</f>
        <v/>
      </c>
      <c r="B404" s="13" t="str">
        <f>IF(A404="","",Form_Raw_Data!B404)</f>
        <v/>
      </c>
      <c r="C404" s="14" t="str">
        <f>IF(A404="","",UPPER(TRIM(Form_Raw_Data!C404)))</f>
        <v/>
      </c>
      <c r="D404" s="14" t="str">
        <f>IF(A404="","",UPPER(TRIM(Form_Raw_Data!D404)))</f>
        <v/>
      </c>
      <c r="E404" s="14" t="str">
        <f>IF(A404="","",TRIM(Form_Raw_Data!E404))</f>
        <v/>
      </c>
      <c r="F404" s="12" t="str">
        <f>IF(A404="","",IF(Form_Raw_Data!F404="","",Form_Raw_Data!F404&amp;""))</f>
        <v/>
      </c>
      <c r="G404" s="14" t="str">
        <f>IF(A404="","",IF(ISNUMBER(Form_Raw_Data!F404),IF(AND(Form_Raw_Data!F404&gt;=0,Form_Raw_Data!F404&lt;=24),Form_Raw_Data!F404,""),""))</f>
        <v/>
      </c>
      <c r="H404" s="14" t="str">
        <f>IF(A404="","",TRIM(Form_Raw_Data!G404))</f>
        <v/>
      </c>
      <c r="I404" s="15" t="str">
        <f t="shared" si="6"/>
        <v/>
      </c>
      <c r="J404" s="15" t="str">
        <f>IF(A404="","",IF(COUNTIF(Lists!$A$4:$A$53,C404)&gt;0,"YES","NO"))</f>
        <v/>
      </c>
      <c r="K404" s="15" t="str">
        <f>IF(A404="","",IF(COUNTIF(Lists!$I$4:$I$53,D404)&gt;0,"YES","NO"))</f>
        <v/>
      </c>
    </row>
    <row r="405" spans="1:11" x14ac:dyDescent="0.35">
      <c r="A405" s="12" t="str">
        <f>IF(Form_Raw_Data!A405="","",Form_Raw_Data!A405)</f>
        <v/>
      </c>
      <c r="B405" s="13" t="str">
        <f>IF(A405="","",Form_Raw_Data!B405)</f>
        <v/>
      </c>
      <c r="C405" s="14" t="str">
        <f>IF(A405="","",UPPER(TRIM(Form_Raw_Data!C405)))</f>
        <v/>
      </c>
      <c r="D405" s="14" t="str">
        <f>IF(A405="","",UPPER(TRIM(Form_Raw_Data!D405)))</f>
        <v/>
      </c>
      <c r="E405" s="14" t="str">
        <f>IF(A405="","",TRIM(Form_Raw_Data!E405))</f>
        <v/>
      </c>
      <c r="F405" s="12" t="str">
        <f>IF(A405="","",IF(Form_Raw_Data!F405="","",Form_Raw_Data!F405&amp;""))</f>
        <v/>
      </c>
      <c r="G405" s="14" t="str">
        <f>IF(A405="","",IF(ISNUMBER(Form_Raw_Data!F405),IF(AND(Form_Raw_Data!F405&gt;=0,Form_Raw_Data!F405&lt;=24),Form_Raw_Data!F405,""),""))</f>
        <v/>
      </c>
      <c r="H405" s="14" t="str">
        <f>IF(A405="","",TRIM(Form_Raw_Data!G405))</f>
        <v/>
      </c>
      <c r="I405" s="15" t="str">
        <f t="shared" si="6"/>
        <v/>
      </c>
      <c r="J405" s="15" t="str">
        <f>IF(A405="","",IF(COUNTIF(Lists!$A$4:$A$53,C405)&gt;0,"YES","NO"))</f>
        <v/>
      </c>
      <c r="K405" s="15" t="str">
        <f>IF(A405="","",IF(COUNTIF(Lists!$I$4:$I$53,D405)&gt;0,"YES","NO"))</f>
        <v/>
      </c>
    </row>
    <row r="406" spans="1:11" x14ac:dyDescent="0.35">
      <c r="A406" s="12" t="str">
        <f>IF(Form_Raw_Data!A406="","",Form_Raw_Data!A406)</f>
        <v/>
      </c>
      <c r="B406" s="13" t="str">
        <f>IF(A406="","",Form_Raw_Data!B406)</f>
        <v/>
      </c>
      <c r="C406" s="14" t="str">
        <f>IF(A406="","",UPPER(TRIM(Form_Raw_Data!C406)))</f>
        <v/>
      </c>
      <c r="D406" s="14" t="str">
        <f>IF(A406="","",UPPER(TRIM(Form_Raw_Data!D406)))</f>
        <v/>
      </c>
      <c r="E406" s="14" t="str">
        <f>IF(A406="","",TRIM(Form_Raw_Data!E406))</f>
        <v/>
      </c>
      <c r="F406" s="12" t="str">
        <f>IF(A406="","",IF(Form_Raw_Data!F406="","",Form_Raw_Data!F406&amp;""))</f>
        <v/>
      </c>
      <c r="G406" s="14" t="str">
        <f>IF(A406="","",IF(ISNUMBER(Form_Raw_Data!F406),IF(AND(Form_Raw_Data!F406&gt;=0,Form_Raw_Data!F406&lt;=24),Form_Raw_Data!F406,""),""))</f>
        <v/>
      </c>
      <c r="H406" s="14" t="str">
        <f>IF(A406="","",TRIM(Form_Raw_Data!G406))</f>
        <v/>
      </c>
      <c r="I406" s="15" t="str">
        <f t="shared" si="6"/>
        <v/>
      </c>
      <c r="J406" s="15" t="str">
        <f>IF(A406="","",IF(COUNTIF(Lists!$A$4:$A$53,C406)&gt;0,"YES","NO"))</f>
        <v/>
      </c>
      <c r="K406" s="15" t="str">
        <f>IF(A406="","",IF(COUNTIF(Lists!$I$4:$I$53,D406)&gt;0,"YES","NO"))</f>
        <v/>
      </c>
    </row>
    <row r="407" spans="1:11" x14ac:dyDescent="0.35">
      <c r="A407" s="12" t="str">
        <f>IF(Form_Raw_Data!A407="","",Form_Raw_Data!A407)</f>
        <v/>
      </c>
      <c r="B407" s="13" t="str">
        <f>IF(A407="","",Form_Raw_Data!B407)</f>
        <v/>
      </c>
      <c r="C407" s="14" t="str">
        <f>IF(A407="","",UPPER(TRIM(Form_Raw_Data!C407)))</f>
        <v/>
      </c>
      <c r="D407" s="14" t="str">
        <f>IF(A407="","",UPPER(TRIM(Form_Raw_Data!D407)))</f>
        <v/>
      </c>
      <c r="E407" s="14" t="str">
        <f>IF(A407="","",TRIM(Form_Raw_Data!E407))</f>
        <v/>
      </c>
      <c r="F407" s="12" t="str">
        <f>IF(A407="","",IF(Form_Raw_Data!F407="","",Form_Raw_Data!F407&amp;""))</f>
        <v/>
      </c>
      <c r="G407" s="14" t="str">
        <f>IF(A407="","",IF(ISNUMBER(Form_Raw_Data!F407),IF(AND(Form_Raw_Data!F407&gt;=0,Form_Raw_Data!F407&lt;=24),Form_Raw_Data!F407,""),""))</f>
        <v/>
      </c>
      <c r="H407" s="14" t="str">
        <f>IF(A407="","",TRIM(Form_Raw_Data!G407))</f>
        <v/>
      </c>
      <c r="I407" s="15" t="str">
        <f t="shared" si="6"/>
        <v/>
      </c>
      <c r="J407" s="15" t="str">
        <f>IF(A407="","",IF(COUNTIF(Lists!$A$4:$A$53,C407)&gt;0,"YES","NO"))</f>
        <v/>
      </c>
      <c r="K407" s="15" t="str">
        <f>IF(A407="","",IF(COUNTIF(Lists!$I$4:$I$53,D407)&gt;0,"YES","NO"))</f>
        <v/>
      </c>
    </row>
    <row r="408" spans="1:11" x14ac:dyDescent="0.35">
      <c r="A408" s="12" t="str">
        <f>IF(Form_Raw_Data!A408="","",Form_Raw_Data!A408)</f>
        <v/>
      </c>
      <c r="B408" s="13" t="str">
        <f>IF(A408="","",Form_Raw_Data!B408)</f>
        <v/>
      </c>
      <c r="C408" s="14" t="str">
        <f>IF(A408="","",UPPER(TRIM(Form_Raw_Data!C408)))</f>
        <v/>
      </c>
      <c r="D408" s="14" t="str">
        <f>IF(A408="","",UPPER(TRIM(Form_Raw_Data!D408)))</f>
        <v/>
      </c>
      <c r="E408" s="14" t="str">
        <f>IF(A408="","",TRIM(Form_Raw_Data!E408))</f>
        <v/>
      </c>
      <c r="F408" s="12" t="str">
        <f>IF(A408="","",IF(Form_Raw_Data!F408="","",Form_Raw_Data!F408&amp;""))</f>
        <v/>
      </c>
      <c r="G408" s="14" t="str">
        <f>IF(A408="","",IF(ISNUMBER(Form_Raw_Data!F408),IF(AND(Form_Raw_Data!F408&gt;=0,Form_Raw_Data!F408&lt;=24),Form_Raw_Data!F408,""),""))</f>
        <v/>
      </c>
      <c r="H408" s="14" t="str">
        <f>IF(A408="","",TRIM(Form_Raw_Data!G408))</f>
        <v/>
      </c>
      <c r="I408" s="15" t="str">
        <f t="shared" si="6"/>
        <v/>
      </c>
      <c r="J408" s="15" t="str">
        <f>IF(A408="","",IF(COUNTIF(Lists!$A$4:$A$53,C408)&gt;0,"YES","NO"))</f>
        <v/>
      </c>
      <c r="K408" s="15" t="str">
        <f>IF(A408="","",IF(COUNTIF(Lists!$I$4:$I$53,D408)&gt;0,"YES","NO"))</f>
        <v/>
      </c>
    </row>
    <row r="409" spans="1:11" x14ac:dyDescent="0.35">
      <c r="A409" s="12" t="str">
        <f>IF(Form_Raw_Data!A409="","",Form_Raw_Data!A409)</f>
        <v/>
      </c>
      <c r="B409" s="13" t="str">
        <f>IF(A409="","",Form_Raw_Data!B409)</f>
        <v/>
      </c>
      <c r="C409" s="14" t="str">
        <f>IF(A409="","",UPPER(TRIM(Form_Raw_Data!C409)))</f>
        <v/>
      </c>
      <c r="D409" s="14" t="str">
        <f>IF(A409="","",UPPER(TRIM(Form_Raw_Data!D409)))</f>
        <v/>
      </c>
      <c r="E409" s="14" t="str">
        <f>IF(A409="","",TRIM(Form_Raw_Data!E409))</f>
        <v/>
      </c>
      <c r="F409" s="12" t="str">
        <f>IF(A409="","",IF(Form_Raw_Data!F409="","",Form_Raw_Data!F409&amp;""))</f>
        <v/>
      </c>
      <c r="G409" s="14" t="str">
        <f>IF(A409="","",IF(ISNUMBER(Form_Raw_Data!F409),IF(AND(Form_Raw_Data!F409&gt;=0,Form_Raw_Data!F409&lt;=24),Form_Raw_Data!F409,""),""))</f>
        <v/>
      </c>
      <c r="H409" s="14" t="str">
        <f>IF(A409="","",TRIM(Form_Raw_Data!G409))</f>
        <v/>
      </c>
      <c r="I409" s="15" t="str">
        <f t="shared" si="6"/>
        <v/>
      </c>
      <c r="J409" s="15" t="str">
        <f>IF(A409="","",IF(COUNTIF(Lists!$A$4:$A$53,C409)&gt;0,"YES","NO"))</f>
        <v/>
      </c>
      <c r="K409" s="15" t="str">
        <f>IF(A409="","",IF(COUNTIF(Lists!$I$4:$I$53,D409)&gt;0,"YES","NO"))</f>
        <v/>
      </c>
    </row>
    <row r="410" spans="1:11" x14ac:dyDescent="0.35">
      <c r="A410" s="12" t="str">
        <f>IF(Form_Raw_Data!A410="","",Form_Raw_Data!A410)</f>
        <v/>
      </c>
      <c r="B410" s="13" t="str">
        <f>IF(A410="","",Form_Raw_Data!B410)</f>
        <v/>
      </c>
      <c r="C410" s="14" t="str">
        <f>IF(A410="","",UPPER(TRIM(Form_Raw_Data!C410)))</f>
        <v/>
      </c>
      <c r="D410" s="14" t="str">
        <f>IF(A410="","",UPPER(TRIM(Form_Raw_Data!D410)))</f>
        <v/>
      </c>
      <c r="E410" s="14" t="str">
        <f>IF(A410="","",TRIM(Form_Raw_Data!E410))</f>
        <v/>
      </c>
      <c r="F410" s="12" t="str">
        <f>IF(A410="","",IF(Form_Raw_Data!F410="","",Form_Raw_Data!F410&amp;""))</f>
        <v/>
      </c>
      <c r="G410" s="14" t="str">
        <f>IF(A410="","",IF(ISNUMBER(Form_Raw_Data!F410),IF(AND(Form_Raw_Data!F410&gt;=0,Form_Raw_Data!F410&lt;=24),Form_Raw_Data!F410,""),""))</f>
        <v/>
      </c>
      <c r="H410" s="14" t="str">
        <f>IF(A410="","",TRIM(Form_Raw_Data!G410))</f>
        <v/>
      </c>
      <c r="I410" s="15" t="str">
        <f t="shared" si="6"/>
        <v/>
      </c>
      <c r="J410" s="15" t="str">
        <f>IF(A410="","",IF(COUNTIF(Lists!$A$4:$A$53,C410)&gt;0,"YES","NO"))</f>
        <v/>
      </c>
      <c r="K410" s="15" t="str">
        <f>IF(A410="","",IF(COUNTIF(Lists!$I$4:$I$53,D410)&gt;0,"YES","NO"))</f>
        <v/>
      </c>
    </row>
    <row r="411" spans="1:11" x14ac:dyDescent="0.35">
      <c r="A411" s="12" t="str">
        <f>IF(Form_Raw_Data!A411="","",Form_Raw_Data!A411)</f>
        <v/>
      </c>
      <c r="B411" s="13" t="str">
        <f>IF(A411="","",Form_Raw_Data!B411)</f>
        <v/>
      </c>
      <c r="C411" s="14" t="str">
        <f>IF(A411="","",UPPER(TRIM(Form_Raw_Data!C411)))</f>
        <v/>
      </c>
      <c r="D411" s="14" t="str">
        <f>IF(A411="","",UPPER(TRIM(Form_Raw_Data!D411)))</f>
        <v/>
      </c>
      <c r="E411" s="14" t="str">
        <f>IF(A411="","",TRIM(Form_Raw_Data!E411))</f>
        <v/>
      </c>
      <c r="F411" s="12" t="str">
        <f>IF(A411="","",IF(Form_Raw_Data!F411="","",Form_Raw_Data!F411&amp;""))</f>
        <v/>
      </c>
      <c r="G411" s="14" t="str">
        <f>IF(A411="","",IF(ISNUMBER(Form_Raw_Data!F411),IF(AND(Form_Raw_Data!F411&gt;=0,Form_Raw_Data!F411&lt;=24),Form_Raw_Data!F411,""),""))</f>
        <v/>
      </c>
      <c r="H411" s="14" t="str">
        <f>IF(A411="","",TRIM(Form_Raw_Data!G411))</f>
        <v/>
      </c>
      <c r="I411" s="15" t="str">
        <f t="shared" si="6"/>
        <v/>
      </c>
      <c r="J411" s="15" t="str">
        <f>IF(A411="","",IF(COUNTIF(Lists!$A$4:$A$53,C411)&gt;0,"YES","NO"))</f>
        <v/>
      </c>
      <c r="K411" s="15" t="str">
        <f>IF(A411="","",IF(COUNTIF(Lists!$I$4:$I$53,D411)&gt;0,"YES","NO"))</f>
        <v/>
      </c>
    </row>
    <row r="412" spans="1:11" x14ac:dyDescent="0.35">
      <c r="A412" s="12" t="str">
        <f>IF(Form_Raw_Data!A412="","",Form_Raw_Data!A412)</f>
        <v/>
      </c>
      <c r="B412" s="13" t="str">
        <f>IF(A412="","",Form_Raw_Data!B412)</f>
        <v/>
      </c>
      <c r="C412" s="14" t="str">
        <f>IF(A412="","",UPPER(TRIM(Form_Raw_Data!C412)))</f>
        <v/>
      </c>
      <c r="D412" s="14" t="str">
        <f>IF(A412="","",UPPER(TRIM(Form_Raw_Data!D412)))</f>
        <v/>
      </c>
      <c r="E412" s="14" t="str">
        <f>IF(A412="","",TRIM(Form_Raw_Data!E412))</f>
        <v/>
      </c>
      <c r="F412" s="12" t="str">
        <f>IF(A412="","",IF(Form_Raw_Data!F412="","",Form_Raw_Data!F412&amp;""))</f>
        <v/>
      </c>
      <c r="G412" s="14" t="str">
        <f>IF(A412="","",IF(ISNUMBER(Form_Raw_Data!F412),IF(AND(Form_Raw_Data!F412&gt;=0,Form_Raw_Data!F412&lt;=24),Form_Raw_Data!F412,""),""))</f>
        <v/>
      </c>
      <c r="H412" s="14" t="str">
        <f>IF(A412="","",TRIM(Form_Raw_Data!G412))</f>
        <v/>
      </c>
      <c r="I412" s="15" t="str">
        <f t="shared" si="6"/>
        <v/>
      </c>
      <c r="J412" s="15" t="str">
        <f>IF(A412="","",IF(COUNTIF(Lists!$A$4:$A$53,C412)&gt;0,"YES","NO"))</f>
        <v/>
      </c>
      <c r="K412" s="15" t="str">
        <f>IF(A412="","",IF(COUNTIF(Lists!$I$4:$I$53,D412)&gt;0,"YES","NO"))</f>
        <v/>
      </c>
    </row>
    <row r="413" spans="1:11" x14ac:dyDescent="0.35">
      <c r="A413" s="12" t="str">
        <f>IF(Form_Raw_Data!A413="","",Form_Raw_Data!A413)</f>
        <v/>
      </c>
      <c r="B413" s="13" t="str">
        <f>IF(A413="","",Form_Raw_Data!B413)</f>
        <v/>
      </c>
      <c r="C413" s="14" t="str">
        <f>IF(A413="","",UPPER(TRIM(Form_Raw_Data!C413)))</f>
        <v/>
      </c>
      <c r="D413" s="14" t="str">
        <f>IF(A413="","",UPPER(TRIM(Form_Raw_Data!D413)))</f>
        <v/>
      </c>
      <c r="E413" s="14" t="str">
        <f>IF(A413="","",TRIM(Form_Raw_Data!E413))</f>
        <v/>
      </c>
      <c r="F413" s="12" t="str">
        <f>IF(A413="","",IF(Form_Raw_Data!F413="","",Form_Raw_Data!F413&amp;""))</f>
        <v/>
      </c>
      <c r="G413" s="14" t="str">
        <f>IF(A413="","",IF(ISNUMBER(Form_Raw_Data!F413),IF(AND(Form_Raw_Data!F413&gt;=0,Form_Raw_Data!F413&lt;=24),Form_Raw_Data!F413,""),""))</f>
        <v/>
      </c>
      <c r="H413" s="14" t="str">
        <f>IF(A413="","",TRIM(Form_Raw_Data!G413))</f>
        <v/>
      </c>
      <c r="I413" s="15" t="str">
        <f t="shared" si="6"/>
        <v/>
      </c>
      <c r="J413" s="15" t="str">
        <f>IF(A413="","",IF(COUNTIF(Lists!$A$4:$A$53,C413)&gt;0,"YES","NO"))</f>
        <v/>
      </c>
      <c r="K413" s="15" t="str">
        <f>IF(A413="","",IF(COUNTIF(Lists!$I$4:$I$53,D413)&gt;0,"YES","NO"))</f>
        <v/>
      </c>
    </row>
    <row r="414" spans="1:11" x14ac:dyDescent="0.35">
      <c r="A414" s="12" t="str">
        <f>IF(Form_Raw_Data!A414="","",Form_Raw_Data!A414)</f>
        <v/>
      </c>
      <c r="B414" s="13" t="str">
        <f>IF(A414="","",Form_Raw_Data!B414)</f>
        <v/>
      </c>
      <c r="C414" s="14" t="str">
        <f>IF(A414="","",UPPER(TRIM(Form_Raw_Data!C414)))</f>
        <v/>
      </c>
      <c r="D414" s="14" t="str">
        <f>IF(A414="","",UPPER(TRIM(Form_Raw_Data!D414)))</f>
        <v/>
      </c>
      <c r="E414" s="14" t="str">
        <f>IF(A414="","",TRIM(Form_Raw_Data!E414))</f>
        <v/>
      </c>
      <c r="F414" s="12" t="str">
        <f>IF(A414="","",IF(Form_Raw_Data!F414="","",Form_Raw_Data!F414&amp;""))</f>
        <v/>
      </c>
      <c r="G414" s="14" t="str">
        <f>IF(A414="","",IF(ISNUMBER(Form_Raw_Data!F414),IF(AND(Form_Raw_Data!F414&gt;=0,Form_Raw_Data!F414&lt;=24),Form_Raw_Data!F414,""),""))</f>
        <v/>
      </c>
      <c r="H414" s="14" t="str">
        <f>IF(A414="","",TRIM(Form_Raw_Data!G414))</f>
        <v/>
      </c>
      <c r="I414" s="15" t="str">
        <f t="shared" si="6"/>
        <v/>
      </c>
      <c r="J414" s="15" t="str">
        <f>IF(A414="","",IF(COUNTIF(Lists!$A$4:$A$53,C414)&gt;0,"YES","NO"))</f>
        <v/>
      </c>
      <c r="K414" s="15" t="str">
        <f>IF(A414="","",IF(COUNTIF(Lists!$I$4:$I$53,D414)&gt;0,"YES","NO"))</f>
        <v/>
      </c>
    </row>
    <row r="415" spans="1:11" x14ac:dyDescent="0.35">
      <c r="A415" s="12" t="str">
        <f>IF(Form_Raw_Data!A415="","",Form_Raw_Data!A415)</f>
        <v/>
      </c>
      <c r="B415" s="13" t="str">
        <f>IF(A415="","",Form_Raw_Data!B415)</f>
        <v/>
      </c>
      <c r="C415" s="14" t="str">
        <f>IF(A415="","",UPPER(TRIM(Form_Raw_Data!C415)))</f>
        <v/>
      </c>
      <c r="D415" s="14" t="str">
        <f>IF(A415="","",UPPER(TRIM(Form_Raw_Data!D415)))</f>
        <v/>
      </c>
      <c r="E415" s="14" t="str">
        <f>IF(A415="","",TRIM(Form_Raw_Data!E415))</f>
        <v/>
      </c>
      <c r="F415" s="12" t="str">
        <f>IF(A415="","",IF(Form_Raw_Data!F415="","",Form_Raw_Data!F415&amp;""))</f>
        <v/>
      </c>
      <c r="G415" s="14" t="str">
        <f>IF(A415="","",IF(ISNUMBER(Form_Raw_Data!F415),IF(AND(Form_Raw_Data!F415&gt;=0,Form_Raw_Data!F415&lt;=24),Form_Raw_Data!F415,""),""))</f>
        <v/>
      </c>
      <c r="H415" s="14" t="str">
        <f>IF(A415="","",TRIM(Form_Raw_Data!G415))</f>
        <v/>
      </c>
      <c r="I415" s="15" t="str">
        <f t="shared" si="6"/>
        <v/>
      </c>
      <c r="J415" s="15" t="str">
        <f>IF(A415="","",IF(COUNTIF(Lists!$A$4:$A$53,C415)&gt;0,"YES","NO"))</f>
        <v/>
      </c>
      <c r="K415" s="15" t="str">
        <f>IF(A415="","",IF(COUNTIF(Lists!$I$4:$I$53,D415)&gt;0,"YES","NO"))</f>
        <v/>
      </c>
    </row>
    <row r="416" spans="1:11" x14ac:dyDescent="0.35">
      <c r="A416" s="12" t="str">
        <f>IF(Form_Raw_Data!A416="","",Form_Raw_Data!A416)</f>
        <v/>
      </c>
      <c r="B416" s="13" t="str">
        <f>IF(A416="","",Form_Raw_Data!B416)</f>
        <v/>
      </c>
      <c r="C416" s="14" t="str">
        <f>IF(A416="","",UPPER(TRIM(Form_Raw_Data!C416)))</f>
        <v/>
      </c>
      <c r="D416" s="14" t="str">
        <f>IF(A416="","",UPPER(TRIM(Form_Raw_Data!D416)))</f>
        <v/>
      </c>
      <c r="E416" s="14" t="str">
        <f>IF(A416="","",TRIM(Form_Raw_Data!E416))</f>
        <v/>
      </c>
      <c r="F416" s="12" t="str">
        <f>IF(A416="","",IF(Form_Raw_Data!F416="","",Form_Raw_Data!F416&amp;""))</f>
        <v/>
      </c>
      <c r="G416" s="14" t="str">
        <f>IF(A416="","",IF(ISNUMBER(Form_Raw_Data!F416),IF(AND(Form_Raw_Data!F416&gt;=0,Form_Raw_Data!F416&lt;=24),Form_Raw_Data!F416,""),""))</f>
        <v/>
      </c>
      <c r="H416" s="14" t="str">
        <f>IF(A416="","",TRIM(Form_Raw_Data!G416))</f>
        <v/>
      </c>
      <c r="I416" s="15" t="str">
        <f t="shared" si="6"/>
        <v/>
      </c>
      <c r="J416" s="15" t="str">
        <f>IF(A416="","",IF(COUNTIF(Lists!$A$4:$A$53,C416)&gt;0,"YES","NO"))</f>
        <v/>
      </c>
      <c r="K416" s="15" t="str">
        <f>IF(A416="","",IF(COUNTIF(Lists!$I$4:$I$53,D416)&gt;0,"YES","NO"))</f>
        <v/>
      </c>
    </row>
    <row r="417" spans="1:11" x14ac:dyDescent="0.35">
      <c r="A417" s="12" t="str">
        <f>IF(Form_Raw_Data!A417="","",Form_Raw_Data!A417)</f>
        <v/>
      </c>
      <c r="B417" s="13" t="str">
        <f>IF(A417="","",Form_Raw_Data!B417)</f>
        <v/>
      </c>
      <c r="C417" s="14" t="str">
        <f>IF(A417="","",UPPER(TRIM(Form_Raw_Data!C417)))</f>
        <v/>
      </c>
      <c r="D417" s="14" t="str">
        <f>IF(A417="","",UPPER(TRIM(Form_Raw_Data!D417)))</f>
        <v/>
      </c>
      <c r="E417" s="14" t="str">
        <f>IF(A417="","",TRIM(Form_Raw_Data!E417))</f>
        <v/>
      </c>
      <c r="F417" s="12" t="str">
        <f>IF(A417="","",IF(Form_Raw_Data!F417="","",Form_Raw_Data!F417&amp;""))</f>
        <v/>
      </c>
      <c r="G417" s="14" t="str">
        <f>IF(A417="","",IF(ISNUMBER(Form_Raw_Data!F417),IF(AND(Form_Raw_Data!F417&gt;=0,Form_Raw_Data!F417&lt;=24),Form_Raw_Data!F417,""),""))</f>
        <v/>
      </c>
      <c r="H417" s="14" t="str">
        <f>IF(A417="","",TRIM(Form_Raw_Data!G417))</f>
        <v/>
      </c>
      <c r="I417" s="15" t="str">
        <f t="shared" si="6"/>
        <v/>
      </c>
      <c r="J417" s="15" t="str">
        <f>IF(A417="","",IF(COUNTIF(Lists!$A$4:$A$53,C417)&gt;0,"YES","NO"))</f>
        <v/>
      </c>
      <c r="K417" s="15" t="str">
        <f>IF(A417="","",IF(COUNTIF(Lists!$I$4:$I$53,D417)&gt;0,"YES","NO"))</f>
        <v/>
      </c>
    </row>
    <row r="418" spans="1:11" x14ac:dyDescent="0.35">
      <c r="A418" s="12" t="str">
        <f>IF(Form_Raw_Data!A418="","",Form_Raw_Data!A418)</f>
        <v/>
      </c>
      <c r="B418" s="13" t="str">
        <f>IF(A418="","",Form_Raw_Data!B418)</f>
        <v/>
      </c>
      <c r="C418" s="14" t="str">
        <f>IF(A418="","",UPPER(TRIM(Form_Raw_Data!C418)))</f>
        <v/>
      </c>
      <c r="D418" s="14" t="str">
        <f>IF(A418="","",UPPER(TRIM(Form_Raw_Data!D418)))</f>
        <v/>
      </c>
      <c r="E418" s="14" t="str">
        <f>IF(A418="","",TRIM(Form_Raw_Data!E418))</f>
        <v/>
      </c>
      <c r="F418" s="12" t="str">
        <f>IF(A418="","",IF(Form_Raw_Data!F418="","",Form_Raw_Data!F418&amp;""))</f>
        <v/>
      </c>
      <c r="G418" s="14" t="str">
        <f>IF(A418="","",IF(ISNUMBER(Form_Raw_Data!F418),IF(AND(Form_Raw_Data!F418&gt;=0,Form_Raw_Data!F418&lt;=24),Form_Raw_Data!F418,""),""))</f>
        <v/>
      </c>
      <c r="H418" s="14" t="str">
        <f>IF(A418="","",TRIM(Form_Raw_Data!G418))</f>
        <v/>
      </c>
      <c r="I418" s="15" t="str">
        <f t="shared" si="6"/>
        <v/>
      </c>
      <c r="J418" s="15" t="str">
        <f>IF(A418="","",IF(COUNTIF(Lists!$A$4:$A$53,C418)&gt;0,"YES","NO"))</f>
        <v/>
      </c>
      <c r="K418" s="15" t="str">
        <f>IF(A418="","",IF(COUNTIF(Lists!$I$4:$I$53,D418)&gt;0,"YES","NO"))</f>
        <v/>
      </c>
    </row>
    <row r="419" spans="1:11" x14ac:dyDescent="0.35">
      <c r="A419" s="12" t="str">
        <f>IF(Form_Raw_Data!A419="","",Form_Raw_Data!A419)</f>
        <v/>
      </c>
      <c r="B419" s="13" t="str">
        <f>IF(A419="","",Form_Raw_Data!B419)</f>
        <v/>
      </c>
      <c r="C419" s="14" t="str">
        <f>IF(A419="","",UPPER(TRIM(Form_Raw_Data!C419)))</f>
        <v/>
      </c>
      <c r="D419" s="14" t="str">
        <f>IF(A419="","",UPPER(TRIM(Form_Raw_Data!D419)))</f>
        <v/>
      </c>
      <c r="E419" s="14" t="str">
        <f>IF(A419="","",TRIM(Form_Raw_Data!E419))</f>
        <v/>
      </c>
      <c r="F419" s="12" t="str">
        <f>IF(A419="","",IF(Form_Raw_Data!F419="","",Form_Raw_Data!F419&amp;""))</f>
        <v/>
      </c>
      <c r="G419" s="14" t="str">
        <f>IF(A419="","",IF(ISNUMBER(Form_Raw_Data!F419),IF(AND(Form_Raw_Data!F419&gt;=0,Form_Raw_Data!F419&lt;=24),Form_Raw_Data!F419,""),""))</f>
        <v/>
      </c>
      <c r="H419" s="14" t="str">
        <f>IF(A419="","",TRIM(Form_Raw_Data!G419))</f>
        <v/>
      </c>
      <c r="I419" s="15" t="str">
        <f t="shared" si="6"/>
        <v/>
      </c>
      <c r="J419" s="15" t="str">
        <f>IF(A419="","",IF(COUNTIF(Lists!$A$4:$A$53,C419)&gt;0,"YES","NO"))</f>
        <v/>
      </c>
      <c r="K419" s="15" t="str">
        <f>IF(A419="","",IF(COUNTIF(Lists!$I$4:$I$53,D419)&gt;0,"YES","NO"))</f>
        <v/>
      </c>
    </row>
    <row r="420" spans="1:11" x14ac:dyDescent="0.35">
      <c r="A420" s="12" t="str">
        <f>IF(Form_Raw_Data!A420="","",Form_Raw_Data!A420)</f>
        <v/>
      </c>
      <c r="B420" s="13" t="str">
        <f>IF(A420="","",Form_Raw_Data!B420)</f>
        <v/>
      </c>
      <c r="C420" s="14" t="str">
        <f>IF(A420="","",UPPER(TRIM(Form_Raw_Data!C420)))</f>
        <v/>
      </c>
      <c r="D420" s="14" t="str">
        <f>IF(A420="","",UPPER(TRIM(Form_Raw_Data!D420)))</f>
        <v/>
      </c>
      <c r="E420" s="14" t="str">
        <f>IF(A420="","",TRIM(Form_Raw_Data!E420))</f>
        <v/>
      </c>
      <c r="F420" s="12" t="str">
        <f>IF(A420="","",IF(Form_Raw_Data!F420="","",Form_Raw_Data!F420&amp;""))</f>
        <v/>
      </c>
      <c r="G420" s="14" t="str">
        <f>IF(A420="","",IF(ISNUMBER(Form_Raw_Data!F420),IF(AND(Form_Raw_Data!F420&gt;=0,Form_Raw_Data!F420&lt;=24),Form_Raw_Data!F420,""),""))</f>
        <v/>
      </c>
      <c r="H420" s="14" t="str">
        <f>IF(A420="","",TRIM(Form_Raw_Data!G420))</f>
        <v/>
      </c>
      <c r="I420" s="15" t="str">
        <f t="shared" si="6"/>
        <v/>
      </c>
      <c r="J420" s="15" t="str">
        <f>IF(A420="","",IF(COUNTIF(Lists!$A$4:$A$53,C420)&gt;0,"YES","NO"))</f>
        <v/>
      </c>
      <c r="K420" s="15" t="str">
        <f>IF(A420="","",IF(COUNTIF(Lists!$I$4:$I$53,D420)&gt;0,"YES","NO"))</f>
        <v/>
      </c>
    </row>
    <row r="421" spans="1:11" x14ac:dyDescent="0.35">
      <c r="A421" s="12" t="str">
        <f>IF(Form_Raw_Data!A421="","",Form_Raw_Data!A421)</f>
        <v/>
      </c>
      <c r="B421" s="13" t="str">
        <f>IF(A421="","",Form_Raw_Data!B421)</f>
        <v/>
      </c>
      <c r="C421" s="14" t="str">
        <f>IF(A421="","",UPPER(TRIM(Form_Raw_Data!C421)))</f>
        <v/>
      </c>
      <c r="D421" s="14" t="str">
        <f>IF(A421="","",UPPER(TRIM(Form_Raw_Data!D421)))</f>
        <v/>
      </c>
      <c r="E421" s="14" t="str">
        <f>IF(A421="","",TRIM(Form_Raw_Data!E421))</f>
        <v/>
      </c>
      <c r="F421" s="12" t="str">
        <f>IF(A421="","",IF(Form_Raw_Data!F421="","",Form_Raw_Data!F421&amp;""))</f>
        <v/>
      </c>
      <c r="G421" s="14" t="str">
        <f>IF(A421="","",IF(ISNUMBER(Form_Raw_Data!F421),IF(AND(Form_Raw_Data!F421&gt;=0,Form_Raw_Data!F421&lt;=24),Form_Raw_Data!F421,""),""))</f>
        <v/>
      </c>
      <c r="H421" s="14" t="str">
        <f>IF(A421="","",TRIM(Form_Raw_Data!G421))</f>
        <v/>
      </c>
      <c r="I421" s="15" t="str">
        <f t="shared" si="6"/>
        <v/>
      </c>
      <c r="J421" s="15" t="str">
        <f>IF(A421="","",IF(COUNTIF(Lists!$A$4:$A$53,C421)&gt;0,"YES","NO"))</f>
        <v/>
      </c>
      <c r="K421" s="15" t="str">
        <f>IF(A421="","",IF(COUNTIF(Lists!$I$4:$I$53,D421)&gt;0,"YES","NO"))</f>
        <v/>
      </c>
    </row>
    <row r="422" spans="1:11" x14ac:dyDescent="0.35">
      <c r="A422" s="12" t="str">
        <f>IF(Form_Raw_Data!A422="","",Form_Raw_Data!A422)</f>
        <v/>
      </c>
      <c r="B422" s="13" t="str">
        <f>IF(A422="","",Form_Raw_Data!B422)</f>
        <v/>
      </c>
      <c r="C422" s="14" t="str">
        <f>IF(A422="","",UPPER(TRIM(Form_Raw_Data!C422)))</f>
        <v/>
      </c>
      <c r="D422" s="14" t="str">
        <f>IF(A422="","",UPPER(TRIM(Form_Raw_Data!D422)))</f>
        <v/>
      </c>
      <c r="E422" s="14" t="str">
        <f>IF(A422="","",TRIM(Form_Raw_Data!E422))</f>
        <v/>
      </c>
      <c r="F422" s="12" t="str">
        <f>IF(A422="","",IF(Form_Raw_Data!F422="","",Form_Raw_Data!F422&amp;""))</f>
        <v/>
      </c>
      <c r="G422" s="14" t="str">
        <f>IF(A422="","",IF(ISNUMBER(Form_Raw_Data!F422),IF(AND(Form_Raw_Data!F422&gt;=0,Form_Raw_Data!F422&lt;=24),Form_Raw_Data!F422,""),""))</f>
        <v/>
      </c>
      <c r="H422" s="14" t="str">
        <f>IF(A422="","",TRIM(Form_Raw_Data!G422))</f>
        <v/>
      </c>
      <c r="I422" s="15" t="str">
        <f t="shared" si="6"/>
        <v/>
      </c>
      <c r="J422" s="15" t="str">
        <f>IF(A422="","",IF(COUNTIF(Lists!$A$4:$A$53,C422)&gt;0,"YES","NO"))</f>
        <v/>
      </c>
      <c r="K422" s="15" t="str">
        <f>IF(A422="","",IF(COUNTIF(Lists!$I$4:$I$53,D422)&gt;0,"YES","NO"))</f>
        <v/>
      </c>
    </row>
    <row r="423" spans="1:11" x14ac:dyDescent="0.35">
      <c r="A423" s="12" t="str">
        <f>IF(Form_Raw_Data!A423="","",Form_Raw_Data!A423)</f>
        <v/>
      </c>
      <c r="B423" s="13" t="str">
        <f>IF(A423="","",Form_Raw_Data!B423)</f>
        <v/>
      </c>
      <c r="C423" s="14" t="str">
        <f>IF(A423="","",UPPER(TRIM(Form_Raw_Data!C423)))</f>
        <v/>
      </c>
      <c r="D423" s="14" t="str">
        <f>IF(A423="","",UPPER(TRIM(Form_Raw_Data!D423)))</f>
        <v/>
      </c>
      <c r="E423" s="14" t="str">
        <f>IF(A423="","",TRIM(Form_Raw_Data!E423))</f>
        <v/>
      </c>
      <c r="F423" s="12" t="str">
        <f>IF(A423="","",IF(Form_Raw_Data!F423="","",Form_Raw_Data!F423&amp;""))</f>
        <v/>
      </c>
      <c r="G423" s="14" t="str">
        <f>IF(A423="","",IF(ISNUMBER(Form_Raw_Data!F423),IF(AND(Form_Raw_Data!F423&gt;=0,Form_Raw_Data!F423&lt;=24),Form_Raw_Data!F423,""),""))</f>
        <v/>
      </c>
      <c r="H423" s="14" t="str">
        <f>IF(A423="","",TRIM(Form_Raw_Data!G423))</f>
        <v/>
      </c>
      <c r="I423" s="15" t="str">
        <f t="shared" si="6"/>
        <v/>
      </c>
      <c r="J423" s="15" t="str">
        <f>IF(A423="","",IF(COUNTIF(Lists!$A$4:$A$53,C423)&gt;0,"YES","NO"))</f>
        <v/>
      </c>
      <c r="K423" s="15" t="str">
        <f>IF(A423="","",IF(COUNTIF(Lists!$I$4:$I$53,D423)&gt;0,"YES","NO"))</f>
        <v/>
      </c>
    </row>
    <row r="424" spans="1:11" x14ac:dyDescent="0.35">
      <c r="A424" s="12" t="str">
        <f>IF(Form_Raw_Data!A424="","",Form_Raw_Data!A424)</f>
        <v/>
      </c>
      <c r="B424" s="13" t="str">
        <f>IF(A424="","",Form_Raw_Data!B424)</f>
        <v/>
      </c>
      <c r="C424" s="14" t="str">
        <f>IF(A424="","",UPPER(TRIM(Form_Raw_Data!C424)))</f>
        <v/>
      </c>
      <c r="D424" s="14" t="str">
        <f>IF(A424="","",UPPER(TRIM(Form_Raw_Data!D424)))</f>
        <v/>
      </c>
      <c r="E424" s="14" t="str">
        <f>IF(A424="","",TRIM(Form_Raw_Data!E424))</f>
        <v/>
      </c>
      <c r="F424" s="12" t="str">
        <f>IF(A424="","",IF(Form_Raw_Data!F424="","",Form_Raw_Data!F424&amp;""))</f>
        <v/>
      </c>
      <c r="G424" s="14" t="str">
        <f>IF(A424="","",IF(ISNUMBER(Form_Raw_Data!F424),IF(AND(Form_Raw_Data!F424&gt;=0,Form_Raw_Data!F424&lt;=24),Form_Raw_Data!F424,""),""))</f>
        <v/>
      </c>
      <c r="H424" s="14" t="str">
        <f>IF(A424="","",TRIM(Form_Raw_Data!G424))</f>
        <v/>
      </c>
      <c r="I424" s="15" t="str">
        <f t="shared" si="6"/>
        <v/>
      </c>
      <c r="J424" s="15" t="str">
        <f>IF(A424="","",IF(COUNTIF(Lists!$A$4:$A$53,C424)&gt;0,"YES","NO"))</f>
        <v/>
      </c>
      <c r="K424" s="15" t="str">
        <f>IF(A424="","",IF(COUNTIF(Lists!$I$4:$I$53,D424)&gt;0,"YES","NO"))</f>
        <v/>
      </c>
    </row>
    <row r="425" spans="1:11" x14ac:dyDescent="0.35">
      <c r="A425" s="12" t="str">
        <f>IF(Form_Raw_Data!A425="","",Form_Raw_Data!A425)</f>
        <v/>
      </c>
      <c r="B425" s="13" t="str">
        <f>IF(A425="","",Form_Raw_Data!B425)</f>
        <v/>
      </c>
      <c r="C425" s="14" t="str">
        <f>IF(A425="","",UPPER(TRIM(Form_Raw_Data!C425)))</f>
        <v/>
      </c>
      <c r="D425" s="14" t="str">
        <f>IF(A425="","",UPPER(TRIM(Form_Raw_Data!D425)))</f>
        <v/>
      </c>
      <c r="E425" s="14" t="str">
        <f>IF(A425="","",TRIM(Form_Raw_Data!E425))</f>
        <v/>
      </c>
      <c r="F425" s="12" t="str">
        <f>IF(A425="","",IF(Form_Raw_Data!F425="","",Form_Raw_Data!F425&amp;""))</f>
        <v/>
      </c>
      <c r="G425" s="14" t="str">
        <f>IF(A425="","",IF(ISNUMBER(Form_Raw_Data!F425),IF(AND(Form_Raw_Data!F425&gt;=0,Form_Raw_Data!F425&lt;=24),Form_Raw_Data!F425,""),""))</f>
        <v/>
      </c>
      <c r="H425" s="14" t="str">
        <f>IF(A425="","",TRIM(Form_Raw_Data!G425))</f>
        <v/>
      </c>
      <c r="I425" s="15" t="str">
        <f t="shared" si="6"/>
        <v/>
      </c>
      <c r="J425" s="15" t="str">
        <f>IF(A425="","",IF(COUNTIF(Lists!$A$4:$A$53,C425)&gt;0,"YES","NO"))</f>
        <v/>
      </c>
      <c r="K425" s="15" t="str">
        <f>IF(A425="","",IF(COUNTIF(Lists!$I$4:$I$53,D425)&gt;0,"YES","NO"))</f>
        <v/>
      </c>
    </row>
    <row r="426" spans="1:11" x14ac:dyDescent="0.35">
      <c r="A426" s="12" t="str">
        <f>IF(Form_Raw_Data!A426="","",Form_Raw_Data!A426)</f>
        <v/>
      </c>
      <c r="B426" s="13" t="str">
        <f>IF(A426="","",Form_Raw_Data!B426)</f>
        <v/>
      </c>
      <c r="C426" s="14" t="str">
        <f>IF(A426="","",UPPER(TRIM(Form_Raw_Data!C426)))</f>
        <v/>
      </c>
      <c r="D426" s="14" t="str">
        <f>IF(A426="","",UPPER(TRIM(Form_Raw_Data!D426)))</f>
        <v/>
      </c>
      <c r="E426" s="14" t="str">
        <f>IF(A426="","",TRIM(Form_Raw_Data!E426))</f>
        <v/>
      </c>
      <c r="F426" s="12" t="str">
        <f>IF(A426="","",IF(Form_Raw_Data!F426="","",Form_Raw_Data!F426&amp;""))</f>
        <v/>
      </c>
      <c r="G426" s="14" t="str">
        <f>IF(A426="","",IF(ISNUMBER(Form_Raw_Data!F426),IF(AND(Form_Raw_Data!F426&gt;=0,Form_Raw_Data!F426&lt;=24),Form_Raw_Data!F426,""),""))</f>
        <v/>
      </c>
      <c r="H426" s="14" t="str">
        <f>IF(A426="","",TRIM(Form_Raw_Data!G426))</f>
        <v/>
      </c>
      <c r="I426" s="15" t="str">
        <f t="shared" si="6"/>
        <v/>
      </c>
      <c r="J426" s="15" t="str">
        <f>IF(A426="","",IF(COUNTIF(Lists!$A$4:$A$53,C426)&gt;0,"YES","NO"))</f>
        <v/>
      </c>
      <c r="K426" s="15" t="str">
        <f>IF(A426="","",IF(COUNTIF(Lists!$I$4:$I$53,D426)&gt;0,"YES","NO"))</f>
        <v/>
      </c>
    </row>
    <row r="427" spans="1:11" x14ac:dyDescent="0.35">
      <c r="A427" s="12" t="str">
        <f>IF(Form_Raw_Data!A427="","",Form_Raw_Data!A427)</f>
        <v/>
      </c>
      <c r="B427" s="13" t="str">
        <f>IF(A427="","",Form_Raw_Data!B427)</f>
        <v/>
      </c>
      <c r="C427" s="14" t="str">
        <f>IF(A427="","",UPPER(TRIM(Form_Raw_Data!C427)))</f>
        <v/>
      </c>
      <c r="D427" s="14" t="str">
        <f>IF(A427="","",UPPER(TRIM(Form_Raw_Data!D427)))</f>
        <v/>
      </c>
      <c r="E427" s="14" t="str">
        <f>IF(A427="","",TRIM(Form_Raw_Data!E427))</f>
        <v/>
      </c>
      <c r="F427" s="12" t="str">
        <f>IF(A427="","",IF(Form_Raw_Data!F427="","",Form_Raw_Data!F427&amp;""))</f>
        <v/>
      </c>
      <c r="G427" s="14" t="str">
        <f>IF(A427="","",IF(ISNUMBER(Form_Raw_Data!F427),IF(AND(Form_Raw_Data!F427&gt;=0,Form_Raw_Data!F427&lt;=24),Form_Raw_Data!F427,""),""))</f>
        <v/>
      </c>
      <c r="H427" s="14" t="str">
        <f>IF(A427="","",TRIM(Form_Raw_Data!G427))</f>
        <v/>
      </c>
      <c r="I427" s="15" t="str">
        <f t="shared" si="6"/>
        <v/>
      </c>
      <c r="J427" s="15" t="str">
        <f>IF(A427="","",IF(COUNTIF(Lists!$A$4:$A$53,C427)&gt;0,"YES","NO"))</f>
        <v/>
      </c>
      <c r="K427" s="15" t="str">
        <f>IF(A427="","",IF(COUNTIF(Lists!$I$4:$I$53,D427)&gt;0,"YES","NO"))</f>
        <v/>
      </c>
    </row>
    <row r="428" spans="1:11" x14ac:dyDescent="0.35">
      <c r="A428" s="12" t="str">
        <f>IF(Form_Raw_Data!A428="","",Form_Raw_Data!A428)</f>
        <v/>
      </c>
      <c r="B428" s="13" t="str">
        <f>IF(A428="","",Form_Raw_Data!B428)</f>
        <v/>
      </c>
      <c r="C428" s="14" t="str">
        <f>IF(A428="","",UPPER(TRIM(Form_Raw_Data!C428)))</f>
        <v/>
      </c>
      <c r="D428" s="14" t="str">
        <f>IF(A428="","",UPPER(TRIM(Form_Raw_Data!D428)))</f>
        <v/>
      </c>
      <c r="E428" s="14" t="str">
        <f>IF(A428="","",TRIM(Form_Raw_Data!E428))</f>
        <v/>
      </c>
      <c r="F428" s="12" t="str">
        <f>IF(A428="","",IF(Form_Raw_Data!F428="","",Form_Raw_Data!F428&amp;""))</f>
        <v/>
      </c>
      <c r="G428" s="14" t="str">
        <f>IF(A428="","",IF(ISNUMBER(Form_Raw_Data!F428),IF(AND(Form_Raw_Data!F428&gt;=0,Form_Raw_Data!F428&lt;=24),Form_Raw_Data!F428,""),""))</f>
        <v/>
      </c>
      <c r="H428" s="14" t="str">
        <f>IF(A428="","",TRIM(Form_Raw_Data!G428))</f>
        <v/>
      </c>
      <c r="I428" s="15" t="str">
        <f t="shared" si="6"/>
        <v/>
      </c>
      <c r="J428" s="15" t="str">
        <f>IF(A428="","",IF(COUNTIF(Lists!$A$4:$A$53,C428)&gt;0,"YES","NO"))</f>
        <v/>
      </c>
      <c r="K428" s="15" t="str">
        <f>IF(A428="","",IF(COUNTIF(Lists!$I$4:$I$53,D428)&gt;0,"YES","NO"))</f>
        <v/>
      </c>
    </row>
    <row r="429" spans="1:11" x14ac:dyDescent="0.35">
      <c r="A429" s="12" t="str">
        <f>IF(Form_Raw_Data!A429="","",Form_Raw_Data!A429)</f>
        <v/>
      </c>
      <c r="B429" s="13" t="str">
        <f>IF(A429="","",Form_Raw_Data!B429)</f>
        <v/>
      </c>
      <c r="C429" s="14" t="str">
        <f>IF(A429="","",UPPER(TRIM(Form_Raw_Data!C429)))</f>
        <v/>
      </c>
      <c r="D429" s="14" t="str">
        <f>IF(A429="","",UPPER(TRIM(Form_Raw_Data!D429)))</f>
        <v/>
      </c>
      <c r="E429" s="14" t="str">
        <f>IF(A429="","",TRIM(Form_Raw_Data!E429))</f>
        <v/>
      </c>
      <c r="F429" s="12" t="str">
        <f>IF(A429="","",IF(Form_Raw_Data!F429="","",Form_Raw_Data!F429&amp;""))</f>
        <v/>
      </c>
      <c r="G429" s="14" t="str">
        <f>IF(A429="","",IF(ISNUMBER(Form_Raw_Data!F429),IF(AND(Form_Raw_Data!F429&gt;=0,Form_Raw_Data!F429&lt;=24),Form_Raw_Data!F429,""),""))</f>
        <v/>
      </c>
      <c r="H429" s="14" t="str">
        <f>IF(A429="","",TRIM(Form_Raw_Data!G429))</f>
        <v/>
      </c>
      <c r="I429" s="15" t="str">
        <f t="shared" si="6"/>
        <v/>
      </c>
      <c r="J429" s="15" t="str">
        <f>IF(A429="","",IF(COUNTIF(Lists!$A$4:$A$53,C429)&gt;0,"YES","NO"))</f>
        <v/>
      </c>
      <c r="K429" s="15" t="str">
        <f>IF(A429="","",IF(COUNTIF(Lists!$I$4:$I$53,D429)&gt;0,"YES","NO"))</f>
        <v/>
      </c>
    </row>
    <row r="430" spans="1:11" x14ac:dyDescent="0.35">
      <c r="A430" s="12" t="str">
        <f>IF(Form_Raw_Data!A430="","",Form_Raw_Data!A430)</f>
        <v/>
      </c>
      <c r="B430" s="13" t="str">
        <f>IF(A430="","",Form_Raw_Data!B430)</f>
        <v/>
      </c>
      <c r="C430" s="14" t="str">
        <f>IF(A430="","",UPPER(TRIM(Form_Raw_Data!C430)))</f>
        <v/>
      </c>
      <c r="D430" s="14" t="str">
        <f>IF(A430="","",UPPER(TRIM(Form_Raw_Data!D430)))</f>
        <v/>
      </c>
      <c r="E430" s="14" t="str">
        <f>IF(A430="","",TRIM(Form_Raw_Data!E430))</f>
        <v/>
      </c>
      <c r="F430" s="12" t="str">
        <f>IF(A430="","",IF(Form_Raw_Data!F430="","",Form_Raw_Data!F430&amp;""))</f>
        <v/>
      </c>
      <c r="G430" s="14" t="str">
        <f>IF(A430="","",IF(ISNUMBER(Form_Raw_Data!F430),IF(AND(Form_Raw_Data!F430&gt;=0,Form_Raw_Data!F430&lt;=24),Form_Raw_Data!F430,""),""))</f>
        <v/>
      </c>
      <c r="H430" s="14" t="str">
        <f>IF(A430="","",TRIM(Form_Raw_Data!G430))</f>
        <v/>
      </c>
      <c r="I430" s="15" t="str">
        <f t="shared" si="6"/>
        <v/>
      </c>
      <c r="J430" s="15" t="str">
        <f>IF(A430="","",IF(COUNTIF(Lists!$A$4:$A$53,C430)&gt;0,"YES","NO"))</f>
        <v/>
      </c>
      <c r="K430" s="15" t="str">
        <f>IF(A430="","",IF(COUNTIF(Lists!$I$4:$I$53,D430)&gt;0,"YES","NO"))</f>
        <v/>
      </c>
    </row>
    <row r="431" spans="1:11" x14ac:dyDescent="0.35">
      <c r="A431" s="12" t="str">
        <f>IF(Form_Raw_Data!A431="","",Form_Raw_Data!A431)</f>
        <v/>
      </c>
      <c r="B431" s="13" t="str">
        <f>IF(A431="","",Form_Raw_Data!B431)</f>
        <v/>
      </c>
      <c r="C431" s="14" t="str">
        <f>IF(A431="","",UPPER(TRIM(Form_Raw_Data!C431)))</f>
        <v/>
      </c>
      <c r="D431" s="14" t="str">
        <f>IF(A431="","",UPPER(TRIM(Form_Raw_Data!D431)))</f>
        <v/>
      </c>
      <c r="E431" s="14" t="str">
        <f>IF(A431="","",TRIM(Form_Raw_Data!E431))</f>
        <v/>
      </c>
      <c r="F431" s="12" t="str">
        <f>IF(A431="","",IF(Form_Raw_Data!F431="","",Form_Raw_Data!F431&amp;""))</f>
        <v/>
      </c>
      <c r="G431" s="14" t="str">
        <f>IF(A431="","",IF(ISNUMBER(Form_Raw_Data!F431),IF(AND(Form_Raw_Data!F431&gt;=0,Form_Raw_Data!F431&lt;=24),Form_Raw_Data!F431,""),""))</f>
        <v/>
      </c>
      <c r="H431" s="14" t="str">
        <f>IF(A431="","",TRIM(Form_Raw_Data!G431))</f>
        <v/>
      </c>
      <c r="I431" s="15" t="str">
        <f t="shared" si="6"/>
        <v/>
      </c>
      <c r="J431" s="15" t="str">
        <f>IF(A431="","",IF(COUNTIF(Lists!$A$4:$A$53,C431)&gt;0,"YES","NO"))</f>
        <v/>
      </c>
      <c r="K431" s="15" t="str">
        <f>IF(A431="","",IF(COUNTIF(Lists!$I$4:$I$53,D431)&gt;0,"YES","NO"))</f>
        <v/>
      </c>
    </row>
    <row r="432" spans="1:11" x14ac:dyDescent="0.35">
      <c r="A432" s="12" t="str">
        <f>IF(Form_Raw_Data!A432="","",Form_Raw_Data!A432)</f>
        <v/>
      </c>
      <c r="B432" s="13" t="str">
        <f>IF(A432="","",Form_Raw_Data!B432)</f>
        <v/>
      </c>
      <c r="C432" s="14" t="str">
        <f>IF(A432="","",UPPER(TRIM(Form_Raw_Data!C432)))</f>
        <v/>
      </c>
      <c r="D432" s="14" t="str">
        <f>IF(A432="","",UPPER(TRIM(Form_Raw_Data!D432)))</f>
        <v/>
      </c>
      <c r="E432" s="14" t="str">
        <f>IF(A432="","",TRIM(Form_Raw_Data!E432))</f>
        <v/>
      </c>
      <c r="F432" s="12" t="str">
        <f>IF(A432="","",IF(Form_Raw_Data!F432="","",Form_Raw_Data!F432&amp;""))</f>
        <v/>
      </c>
      <c r="G432" s="14" t="str">
        <f>IF(A432="","",IF(ISNUMBER(Form_Raw_Data!F432),IF(AND(Form_Raw_Data!F432&gt;=0,Form_Raw_Data!F432&lt;=24),Form_Raw_Data!F432,""),""))</f>
        <v/>
      </c>
      <c r="H432" s="14" t="str">
        <f>IF(A432="","",TRIM(Form_Raw_Data!G432))</f>
        <v/>
      </c>
      <c r="I432" s="15" t="str">
        <f t="shared" si="6"/>
        <v/>
      </c>
      <c r="J432" s="15" t="str">
        <f>IF(A432="","",IF(COUNTIF(Lists!$A$4:$A$53,C432)&gt;0,"YES","NO"))</f>
        <v/>
      </c>
      <c r="K432" s="15" t="str">
        <f>IF(A432="","",IF(COUNTIF(Lists!$I$4:$I$53,D432)&gt;0,"YES","NO"))</f>
        <v/>
      </c>
    </row>
    <row r="433" spans="1:11" x14ac:dyDescent="0.35">
      <c r="A433" s="12" t="str">
        <f>IF(Form_Raw_Data!A433="","",Form_Raw_Data!A433)</f>
        <v/>
      </c>
      <c r="B433" s="13" t="str">
        <f>IF(A433="","",Form_Raw_Data!B433)</f>
        <v/>
      </c>
      <c r="C433" s="14" t="str">
        <f>IF(A433="","",UPPER(TRIM(Form_Raw_Data!C433)))</f>
        <v/>
      </c>
      <c r="D433" s="14" t="str">
        <f>IF(A433="","",UPPER(TRIM(Form_Raw_Data!D433)))</f>
        <v/>
      </c>
      <c r="E433" s="14" t="str">
        <f>IF(A433="","",TRIM(Form_Raw_Data!E433))</f>
        <v/>
      </c>
      <c r="F433" s="12" t="str">
        <f>IF(A433="","",IF(Form_Raw_Data!F433="","",Form_Raw_Data!F433&amp;""))</f>
        <v/>
      </c>
      <c r="G433" s="14" t="str">
        <f>IF(A433="","",IF(ISNUMBER(Form_Raw_Data!F433),IF(AND(Form_Raw_Data!F433&gt;=0,Form_Raw_Data!F433&lt;=24),Form_Raw_Data!F433,""),""))</f>
        <v/>
      </c>
      <c r="H433" s="14" t="str">
        <f>IF(A433="","",TRIM(Form_Raw_Data!G433))</f>
        <v/>
      </c>
      <c r="I433" s="15" t="str">
        <f t="shared" si="6"/>
        <v/>
      </c>
      <c r="J433" s="15" t="str">
        <f>IF(A433="","",IF(COUNTIF(Lists!$A$4:$A$53,C433)&gt;0,"YES","NO"))</f>
        <v/>
      </c>
      <c r="K433" s="15" t="str">
        <f>IF(A433="","",IF(COUNTIF(Lists!$I$4:$I$53,D433)&gt;0,"YES","NO"))</f>
        <v/>
      </c>
    </row>
    <row r="434" spans="1:11" x14ac:dyDescent="0.35">
      <c r="A434" s="12" t="str">
        <f>IF(Form_Raw_Data!A434="","",Form_Raw_Data!A434)</f>
        <v/>
      </c>
      <c r="B434" s="13" t="str">
        <f>IF(A434="","",Form_Raw_Data!B434)</f>
        <v/>
      </c>
      <c r="C434" s="14" t="str">
        <f>IF(A434="","",UPPER(TRIM(Form_Raw_Data!C434)))</f>
        <v/>
      </c>
      <c r="D434" s="14" t="str">
        <f>IF(A434="","",UPPER(TRIM(Form_Raw_Data!D434)))</f>
        <v/>
      </c>
      <c r="E434" s="14" t="str">
        <f>IF(A434="","",TRIM(Form_Raw_Data!E434))</f>
        <v/>
      </c>
      <c r="F434" s="12" t="str">
        <f>IF(A434="","",IF(Form_Raw_Data!F434="","",Form_Raw_Data!F434&amp;""))</f>
        <v/>
      </c>
      <c r="G434" s="14" t="str">
        <f>IF(A434="","",IF(ISNUMBER(Form_Raw_Data!F434),IF(AND(Form_Raw_Data!F434&gt;=0,Form_Raw_Data!F434&lt;=24),Form_Raw_Data!F434,""),""))</f>
        <v/>
      </c>
      <c r="H434" s="14" t="str">
        <f>IF(A434="","",TRIM(Form_Raw_Data!G434))</f>
        <v/>
      </c>
      <c r="I434" s="15" t="str">
        <f t="shared" si="6"/>
        <v/>
      </c>
      <c r="J434" s="15" t="str">
        <f>IF(A434="","",IF(COUNTIF(Lists!$A$4:$A$53,C434)&gt;0,"YES","NO"))</f>
        <v/>
      </c>
      <c r="K434" s="15" t="str">
        <f>IF(A434="","",IF(COUNTIF(Lists!$I$4:$I$53,D434)&gt;0,"YES","NO"))</f>
        <v/>
      </c>
    </row>
    <row r="435" spans="1:11" x14ac:dyDescent="0.35">
      <c r="A435" s="12" t="str">
        <f>IF(Form_Raw_Data!A435="","",Form_Raw_Data!A435)</f>
        <v/>
      </c>
      <c r="B435" s="13" t="str">
        <f>IF(A435="","",Form_Raw_Data!B435)</f>
        <v/>
      </c>
      <c r="C435" s="14" t="str">
        <f>IF(A435="","",UPPER(TRIM(Form_Raw_Data!C435)))</f>
        <v/>
      </c>
      <c r="D435" s="14" t="str">
        <f>IF(A435="","",UPPER(TRIM(Form_Raw_Data!D435)))</f>
        <v/>
      </c>
      <c r="E435" s="14" t="str">
        <f>IF(A435="","",TRIM(Form_Raw_Data!E435))</f>
        <v/>
      </c>
      <c r="F435" s="12" t="str">
        <f>IF(A435="","",IF(Form_Raw_Data!F435="","",Form_Raw_Data!F435&amp;""))</f>
        <v/>
      </c>
      <c r="G435" s="14" t="str">
        <f>IF(A435="","",IF(ISNUMBER(Form_Raw_Data!F435),IF(AND(Form_Raw_Data!F435&gt;=0,Form_Raw_Data!F435&lt;=24),Form_Raw_Data!F435,""),""))</f>
        <v/>
      </c>
      <c r="H435" s="14" t="str">
        <f>IF(A435="","",TRIM(Form_Raw_Data!G435))</f>
        <v/>
      </c>
      <c r="I435" s="15" t="str">
        <f t="shared" si="6"/>
        <v/>
      </c>
      <c r="J435" s="15" t="str">
        <f>IF(A435="","",IF(COUNTIF(Lists!$A$4:$A$53,C435)&gt;0,"YES","NO"))</f>
        <v/>
      </c>
      <c r="K435" s="15" t="str">
        <f>IF(A435="","",IF(COUNTIF(Lists!$I$4:$I$53,D435)&gt;0,"YES","NO"))</f>
        <v/>
      </c>
    </row>
    <row r="436" spans="1:11" x14ac:dyDescent="0.35">
      <c r="A436" s="12" t="str">
        <f>IF(Form_Raw_Data!A436="","",Form_Raw_Data!A436)</f>
        <v/>
      </c>
      <c r="B436" s="13" t="str">
        <f>IF(A436="","",Form_Raw_Data!B436)</f>
        <v/>
      </c>
      <c r="C436" s="14" t="str">
        <f>IF(A436="","",UPPER(TRIM(Form_Raw_Data!C436)))</f>
        <v/>
      </c>
      <c r="D436" s="14" t="str">
        <f>IF(A436="","",UPPER(TRIM(Form_Raw_Data!D436)))</f>
        <v/>
      </c>
      <c r="E436" s="14" t="str">
        <f>IF(A436="","",TRIM(Form_Raw_Data!E436))</f>
        <v/>
      </c>
      <c r="F436" s="12" t="str">
        <f>IF(A436="","",IF(Form_Raw_Data!F436="","",Form_Raw_Data!F436&amp;""))</f>
        <v/>
      </c>
      <c r="G436" s="14" t="str">
        <f>IF(A436="","",IF(ISNUMBER(Form_Raw_Data!F436),IF(AND(Form_Raw_Data!F436&gt;=0,Form_Raw_Data!F436&lt;=24),Form_Raw_Data!F436,""),""))</f>
        <v/>
      </c>
      <c r="H436" s="14" t="str">
        <f>IF(A436="","",TRIM(Form_Raw_Data!G436))</f>
        <v/>
      </c>
      <c r="I436" s="15" t="str">
        <f t="shared" si="6"/>
        <v/>
      </c>
      <c r="J436" s="15" t="str">
        <f>IF(A436="","",IF(COUNTIF(Lists!$A$4:$A$53,C436)&gt;0,"YES","NO"))</f>
        <v/>
      </c>
      <c r="K436" s="15" t="str">
        <f>IF(A436="","",IF(COUNTIF(Lists!$I$4:$I$53,D436)&gt;0,"YES","NO"))</f>
        <v/>
      </c>
    </row>
    <row r="437" spans="1:11" x14ac:dyDescent="0.35">
      <c r="A437" s="12" t="str">
        <f>IF(Form_Raw_Data!A437="","",Form_Raw_Data!A437)</f>
        <v/>
      </c>
      <c r="B437" s="13" t="str">
        <f>IF(A437="","",Form_Raw_Data!B437)</f>
        <v/>
      </c>
      <c r="C437" s="14" t="str">
        <f>IF(A437="","",UPPER(TRIM(Form_Raw_Data!C437)))</f>
        <v/>
      </c>
      <c r="D437" s="14" t="str">
        <f>IF(A437="","",UPPER(TRIM(Form_Raw_Data!D437)))</f>
        <v/>
      </c>
      <c r="E437" s="14" t="str">
        <f>IF(A437="","",TRIM(Form_Raw_Data!E437))</f>
        <v/>
      </c>
      <c r="F437" s="12" t="str">
        <f>IF(A437="","",IF(Form_Raw_Data!F437="","",Form_Raw_Data!F437&amp;""))</f>
        <v/>
      </c>
      <c r="G437" s="14" t="str">
        <f>IF(A437="","",IF(ISNUMBER(Form_Raw_Data!F437),IF(AND(Form_Raw_Data!F437&gt;=0,Form_Raw_Data!F437&lt;=24),Form_Raw_Data!F437,""),""))</f>
        <v/>
      </c>
      <c r="H437" s="14" t="str">
        <f>IF(A437="","",TRIM(Form_Raw_Data!G437))</f>
        <v/>
      </c>
      <c r="I437" s="15" t="str">
        <f t="shared" si="6"/>
        <v/>
      </c>
      <c r="J437" s="15" t="str">
        <f>IF(A437="","",IF(COUNTIF(Lists!$A$4:$A$53,C437)&gt;0,"YES","NO"))</f>
        <v/>
      </c>
      <c r="K437" s="15" t="str">
        <f>IF(A437="","",IF(COUNTIF(Lists!$I$4:$I$53,D437)&gt;0,"YES","NO"))</f>
        <v/>
      </c>
    </row>
    <row r="438" spans="1:11" x14ac:dyDescent="0.35">
      <c r="A438" s="12" t="str">
        <f>IF(Form_Raw_Data!A438="","",Form_Raw_Data!A438)</f>
        <v/>
      </c>
      <c r="B438" s="13" t="str">
        <f>IF(A438="","",Form_Raw_Data!B438)</f>
        <v/>
      </c>
      <c r="C438" s="14" t="str">
        <f>IF(A438="","",UPPER(TRIM(Form_Raw_Data!C438)))</f>
        <v/>
      </c>
      <c r="D438" s="14" t="str">
        <f>IF(A438="","",UPPER(TRIM(Form_Raw_Data!D438)))</f>
        <v/>
      </c>
      <c r="E438" s="14" t="str">
        <f>IF(A438="","",TRIM(Form_Raw_Data!E438))</f>
        <v/>
      </c>
      <c r="F438" s="12" t="str">
        <f>IF(A438="","",IF(Form_Raw_Data!F438="","",Form_Raw_Data!F438&amp;""))</f>
        <v/>
      </c>
      <c r="G438" s="14" t="str">
        <f>IF(A438="","",IF(ISNUMBER(Form_Raw_Data!F438),IF(AND(Form_Raw_Data!F438&gt;=0,Form_Raw_Data!F438&lt;=24),Form_Raw_Data!F438,""),""))</f>
        <v/>
      </c>
      <c r="H438" s="14" t="str">
        <f>IF(A438="","",TRIM(Form_Raw_Data!G438))</f>
        <v/>
      </c>
      <c r="I438" s="15" t="str">
        <f t="shared" si="6"/>
        <v/>
      </c>
      <c r="J438" s="15" t="str">
        <f>IF(A438="","",IF(COUNTIF(Lists!$A$4:$A$53,C438)&gt;0,"YES","NO"))</f>
        <v/>
      </c>
      <c r="K438" s="15" t="str">
        <f>IF(A438="","",IF(COUNTIF(Lists!$I$4:$I$53,D438)&gt;0,"YES","NO"))</f>
        <v/>
      </c>
    </row>
    <row r="439" spans="1:11" x14ac:dyDescent="0.35">
      <c r="A439" s="12" t="str">
        <f>IF(Form_Raw_Data!A439="","",Form_Raw_Data!A439)</f>
        <v/>
      </c>
      <c r="B439" s="13" t="str">
        <f>IF(A439="","",Form_Raw_Data!B439)</f>
        <v/>
      </c>
      <c r="C439" s="14" t="str">
        <f>IF(A439="","",UPPER(TRIM(Form_Raw_Data!C439)))</f>
        <v/>
      </c>
      <c r="D439" s="14" t="str">
        <f>IF(A439="","",UPPER(TRIM(Form_Raw_Data!D439)))</f>
        <v/>
      </c>
      <c r="E439" s="14" t="str">
        <f>IF(A439="","",TRIM(Form_Raw_Data!E439))</f>
        <v/>
      </c>
      <c r="F439" s="12" t="str">
        <f>IF(A439="","",IF(Form_Raw_Data!F439="","",Form_Raw_Data!F439&amp;""))</f>
        <v/>
      </c>
      <c r="G439" s="14" t="str">
        <f>IF(A439="","",IF(ISNUMBER(Form_Raw_Data!F439),IF(AND(Form_Raw_Data!F439&gt;=0,Form_Raw_Data!F439&lt;=24),Form_Raw_Data!F439,""),""))</f>
        <v/>
      </c>
      <c r="H439" s="14" t="str">
        <f>IF(A439="","",TRIM(Form_Raw_Data!G439))</f>
        <v/>
      </c>
      <c r="I439" s="15" t="str">
        <f t="shared" si="6"/>
        <v/>
      </c>
      <c r="J439" s="15" t="str">
        <f>IF(A439="","",IF(COUNTIF(Lists!$A$4:$A$53,C439)&gt;0,"YES","NO"))</f>
        <v/>
      </c>
      <c r="K439" s="15" t="str">
        <f>IF(A439="","",IF(COUNTIF(Lists!$I$4:$I$53,D439)&gt;0,"YES","NO"))</f>
        <v/>
      </c>
    </row>
    <row r="440" spans="1:11" x14ac:dyDescent="0.35">
      <c r="A440" s="12" t="str">
        <f>IF(Form_Raw_Data!A440="","",Form_Raw_Data!A440)</f>
        <v/>
      </c>
      <c r="B440" s="13" t="str">
        <f>IF(A440="","",Form_Raw_Data!B440)</f>
        <v/>
      </c>
      <c r="C440" s="14" t="str">
        <f>IF(A440="","",UPPER(TRIM(Form_Raw_Data!C440)))</f>
        <v/>
      </c>
      <c r="D440" s="14" t="str">
        <f>IF(A440="","",UPPER(TRIM(Form_Raw_Data!D440)))</f>
        <v/>
      </c>
      <c r="E440" s="14" t="str">
        <f>IF(A440="","",TRIM(Form_Raw_Data!E440))</f>
        <v/>
      </c>
      <c r="F440" s="12" t="str">
        <f>IF(A440="","",IF(Form_Raw_Data!F440="","",Form_Raw_Data!F440&amp;""))</f>
        <v/>
      </c>
      <c r="G440" s="14" t="str">
        <f>IF(A440="","",IF(ISNUMBER(Form_Raw_Data!F440),IF(AND(Form_Raw_Data!F440&gt;=0,Form_Raw_Data!F440&lt;=24),Form_Raw_Data!F440,""),""))</f>
        <v/>
      </c>
      <c r="H440" s="14" t="str">
        <f>IF(A440="","",TRIM(Form_Raw_Data!G440))</f>
        <v/>
      </c>
      <c r="I440" s="15" t="str">
        <f t="shared" si="6"/>
        <v/>
      </c>
      <c r="J440" s="15" t="str">
        <f>IF(A440="","",IF(COUNTIF(Lists!$A$4:$A$53,C440)&gt;0,"YES","NO"))</f>
        <v/>
      </c>
      <c r="K440" s="15" t="str">
        <f>IF(A440="","",IF(COUNTIF(Lists!$I$4:$I$53,D440)&gt;0,"YES","NO"))</f>
        <v/>
      </c>
    </row>
    <row r="441" spans="1:11" x14ac:dyDescent="0.35">
      <c r="A441" s="12" t="str">
        <f>IF(Form_Raw_Data!A441="","",Form_Raw_Data!A441)</f>
        <v/>
      </c>
      <c r="B441" s="13" t="str">
        <f>IF(A441="","",Form_Raw_Data!B441)</f>
        <v/>
      </c>
      <c r="C441" s="14" t="str">
        <f>IF(A441="","",UPPER(TRIM(Form_Raw_Data!C441)))</f>
        <v/>
      </c>
      <c r="D441" s="14" t="str">
        <f>IF(A441="","",UPPER(TRIM(Form_Raw_Data!D441)))</f>
        <v/>
      </c>
      <c r="E441" s="14" t="str">
        <f>IF(A441="","",TRIM(Form_Raw_Data!E441))</f>
        <v/>
      </c>
      <c r="F441" s="12" t="str">
        <f>IF(A441="","",IF(Form_Raw_Data!F441="","",Form_Raw_Data!F441&amp;""))</f>
        <v/>
      </c>
      <c r="G441" s="14" t="str">
        <f>IF(A441="","",IF(ISNUMBER(Form_Raw_Data!F441),IF(AND(Form_Raw_Data!F441&gt;=0,Form_Raw_Data!F441&lt;=24),Form_Raw_Data!F441,""),""))</f>
        <v/>
      </c>
      <c r="H441" s="14" t="str">
        <f>IF(A441="","",TRIM(Form_Raw_Data!G441))</f>
        <v/>
      </c>
      <c r="I441" s="15" t="str">
        <f t="shared" si="6"/>
        <v/>
      </c>
      <c r="J441" s="15" t="str">
        <f>IF(A441="","",IF(COUNTIF(Lists!$A$4:$A$53,C441)&gt;0,"YES","NO"))</f>
        <v/>
      </c>
      <c r="K441" s="15" t="str">
        <f>IF(A441="","",IF(COUNTIF(Lists!$I$4:$I$53,D441)&gt;0,"YES","NO"))</f>
        <v/>
      </c>
    </row>
    <row r="442" spans="1:11" x14ac:dyDescent="0.35">
      <c r="A442" s="12" t="str">
        <f>IF(Form_Raw_Data!A442="","",Form_Raw_Data!A442)</f>
        <v/>
      </c>
      <c r="B442" s="13" t="str">
        <f>IF(A442="","",Form_Raw_Data!B442)</f>
        <v/>
      </c>
      <c r="C442" s="14" t="str">
        <f>IF(A442="","",UPPER(TRIM(Form_Raw_Data!C442)))</f>
        <v/>
      </c>
      <c r="D442" s="14" t="str">
        <f>IF(A442="","",UPPER(TRIM(Form_Raw_Data!D442)))</f>
        <v/>
      </c>
      <c r="E442" s="14" t="str">
        <f>IF(A442="","",TRIM(Form_Raw_Data!E442))</f>
        <v/>
      </c>
      <c r="F442" s="12" t="str">
        <f>IF(A442="","",IF(Form_Raw_Data!F442="","",Form_Raw_Data!F442&amp;""))</f>
        <v/>
      </c>
      <c r="G442" s="14" t="str">
        <f>IF(A442="","",IF(ISNUMBER(Form_Raw_Data!F442),IF(AND(Form_Raw_Data!F442&gt;=0,Form_Raw_Data!F442&lt;=24),Form_Raw_Data!F442,""),""))</f>
        <v/>
      </c>
      <c r="H442" s="14" t="str">
        <f>IF(A442="","",TRIM(Form_Raw_Data!G442))</f>
        <v/>
      </c>
      <c r="I442" s="15" t="str">
        <f t="shared" si="6"/>
        <v/>
      </c>
      <c r="J442" s="15" t="str">
        <f>IF(A442="","",IF(COUNTIF(Lists!$A$4:$A$53,C442)&gt;0,"YES","NO"))</f>
        <v/>
      </c>
      <c r="K442" s="15" t="str">
        <f>IF(A442="","",IF(COUNTIF(Lists!$I$4:$I$53,D442)&gt;0,"YES","NO"))</f>
        <v/>
      </c>
    </row>
    <row r="443" spans="1:11" x14ac:dyDescent="0.35">
      <c r="A443" s="12" t="str">
        <f>IF(Form_Raw_Data!A443="","",Form_Raw_Data!A443)</f>
        <v/>
      </c>
      <c r="B443" s="13" t="str">
        <f>IF(A443="","",Form_Raw_Data!B443)</f>
        <v/>
      </c>
      <c r="C443" s="14" t="str">
        <f>IF(A443="","",UPPER(TRIM(Form_Raw_Data!C443)))</f>
        <v/>
      </c>
      <c r="D443" s="14" t="str">
        <f>IF(A443="","",UPPER(TRIM(Form_Raw_Data!D443)))</f>
        <v/>
      </c>
      <c r="E443" s="14" t="str">
        <f>IF(A443="","",TRIM(Form_Raw_Data!E443))</f>
        <v/>
      </c>
      <c r="F443" s="12" t="str">
        <f>IF(A443="","",IF(Form_Raw_Data!F443="","",Form_Raw_Data!F443&amp;""))</f>
        <v/>
      </c>
      <c r="G443" s="14" t="str">
        <f>IF(A443="","",IF(ISNUMBER(Form_Raw_Data!F443),IF(AND(Form_Raw_Data!F443&gt;=0,Form_Raw_Data!F443&lt;=24),Form_Raw_Data!F443,""),""))</f>
        <v/>
      </c>
      <c r="H443" s="14" t="str">
        <f>IF(A443="","",TRIM(Form_Raw_Data!G443))</f>
        <v/>
      </c>
      <c r="I443" s="15" t="str">
        <f t="shared" si="6"/>
        <v/>
      </c>
      <c r="J443" s="15" t="str">
        <f>IF(A443="","",IF(COUNTIF(Lists!$A$4:$A$53,C443)&gt;0,"YES","NO"))</f>
        <v/>
      </c>
      <c r="K443" s="15" t="str">
        <f>IF(A443="","",IF(COUNTIF(Lists!$I$4:$I$53,D443)&gt;0,"YES","NO"))</f>
        <v/>
      </c>
    </row>
    <row r="444" spans="1:11" x14ac:dyDescent="0.35">
      <c r="A444" s="12" t="str">
        <f>IF(Form_Raw_Data!A444="","",Form_Raw_Data!A444)</f>
        <v/>
      </c>
      <c r="B444" s="13" t="str">
        <f>IF(A444="","",Form_Raw_Data!B444)</f>
        <v/>
      </c>
      <c r="C444" s="14" t="str">
        <f>IF(A444="","",UPPER(TRIM(Form_Raw_Data!C444)))</f>
        <v/>
      </c>
      <c r="D444" s="14" t="str">
        <f>IF(A444="","",UPPER(TRIM(Form_Raw_Data!D444)))</f>
        <v/>
      </c>
      <c r="E444" s="14" t="str">
        <f>IF(A444="","",TRIM(Form_Raw_Data!E444))</f>
        <v/>
      </c>
      <c r="F444" s="12" t="str">
        <f>IF(A444="","",IF(Form_Raw_Data!F444="","",Form_Raw_Data!F444&amp;""))</f>
        <v/>
      </c>
      <c r="G444" s="14" t="str">
        <f>IF(A444="","",IF(ISNUMBER(Form_Raw_Data!F444),IF(AND(Form_Raw_Data!F444&gt;=0,Form_Raw_Data!F444&lt;=24),Form_Raw_Data!F444,""),""))</f>
        <v/>
      </c>
      <c r="H444" s="14" t="str">
        <f>IF(A444="","",TRIM(Form_Raw_Data!G444))</f>
        <v/>
      </c>
      <c r="I444" s="15" t="str">
        <f t="shared" si="6"/>
        <v/>
      </c>
      <c r="J444" s="15" t="str">
        <f>IF(A444="","",IF(COUNTIF(Lists!$A$4:$A$53,C444)&gt;0,"YES","NO"))</f>
        <v/>
      </c>
      <c r="K444" s="15" t="str">
        <f>IF(A444="","",IF(COUNTIF(Lists!$I$4:$I$53,D444)&gt;0,"YES","NO"))</f>
        <v/>
      </c>
    </row>
    <row r="445" spans="1:11" x14ac:dyDescent="0.35">
      <c r="A445" s="12" t="str">
        <f>IF(Form_Raw_Data!A445="","",Form_Raw_Data!A445)</f>
        <v/>
      </c>
      <c r="B445" s="13" t="str">
        <f>IF(A445="","",Form_Raw_Data!B445)</f>
        <v/>
      </c>
      <c r="C445" s="14" t="str">
        <f>IF(A445="","",UPPER(TRIM(Form_Raw_Data!C445)))</f>
        <v/>
      </c>
      <c r="D445" s="14" t="str">
        <f>IF(A445="","",UPPER(TRIM(Form_Raw_Data!D445)))</f>
        <v/>
      </c>
      <c r="E445" s="14" t="str">
        <f>IF(A445="","",TRIM(Form_Raw_Data!E445))</f>
        <v/>
      </c>
      <c r="F445" s="12" t="str">
        <f>IF(A445="","",IF(Form_Raw_Data!F445="","",Form_Raw_Data!F445&amp;""))</f>
        <v/>
      </c>
      <c r="G445" s="14" t="str">
        <f>IF(A445="","",IF(ISNUMBER(Form_Raw_Data!F445),IF(AND(Form_Raw_Data!F445&gt;=0,Form_Raw_Data!F445&lt;=24),Form_Raw_Data!F445,""),""))</f>
        <v/>
      </c>
      <c r="H445" s="14" t="str">
        <f>IF(A445="","",TRIM(Form_Raw_Data!G445))</f>
        <v/>
      </c>
      <c r="I445" s="15" t="str">
        <f t="shared" si="6"/>
        <v/>
      </c>
      <c r="J445" s="15" t="str">
        <f>IF(A445="","",IF(COUNTIF(Lists!$A$4:$A$53,C445)&gt;0,"YES","NO"))</f>
        <v/>
      </c>
      <c r="K445" s="15" t="str">
        <f>IF(A445="","",IF(COUNTIF(Lists!$I$4:$I$53,D445)&gt;0,"YES","NO"))</f>
        <v/>
      </c>
    </row>
    <row r="446" spans="1:11" x14ac:dyDescent="0.35">
      <c r="A446" s="12" t="str">
        <f>IF(Form_Raw_Data!A446="","",Form_Raw_Data!A446)</f>
        <v/>
      </c>
      <c r="B446" s="13" t="str">
        <f>IF(A446="","",Form_Raw_Data!B446)</f>
        <v/>
      </c>
      <c r="C446" s="14" t="str">
        <f>IF(A446="","",UPPER(TRIM(Form_Raw_Data!C446)))</f>
        <v/>
      </c>
      <c r="D446" s="14" t="str">
        <f>IF(A446="","",UPPER(TRIM(Form_Raw_Data!D446)))</f>
        <v/>
      </c>
      <c r="E446" s="14" t="str">
        <f>IF(A446="","",TRIM(Form_Raw_Data!E446))</f>
        <v/>
      </c>
      <c r="F446" s="12" t="str">
        <f>IF(A446="","",IF(Form_Raw_Data!F446="","",Form_Raw_Data!F446&amp;""))</f>
        <v/>
      </c>
      <c r="G446" s="14" t="str">
        <f>IF(A446="","",IF(ISNUMBER(Form_Raw_Data!F446),IF(AND(Form_Raw_Data!F446&gt;=0,Form_Raw_Data!F446&lt;=24),Form_Raw_Data!F446,""),""))</f>
        <v/>
      </c>
      <c r="H446" s="14" t="str">
        <f>IF(A446="","",TRIM(Form_Raw_Data!G446))</f>
        <v/>
      </c>
      <c r="I446" s="15" t="str">
        <f t="shared" si="6"/>
        <v/>
      </c>
      <c r="J446" s="15" t="str">
        <f>IF(A446="","",IF(COUNTIF(Lists!$A$4:$A$53,C446)&gt;0,"YES","NO"))</f>
        <v/>
      </c>
      <c r="K446" s="15" t="str">
        <f>IF(A446="","",IF(COUNTIF(Lists!$I$4:$I$53,D446)&gt;0,"YES","NO"))</f>
        <v/>
      </c>
    </row>
    <row r="447" spans="1:11" x14ac:dyDescent="0.35">
      <c r="A447" s="12" t="str">
        <f>IF(Form_Raw_Data!A447="","",Form_Raw_Data!A447)</f>
        <v/>
      </c>
      <c r="B447" s="13" t="str">
        <f>IF(A447="","",Form_Raw_Data!B447)</f>
        <v/>
      </c>
      <c r="C447" s="14" t="str">
        <f>IF(A447="","",UPPER(TRIM(Form_Raw_Data!C447)))</f>
        <v/>
      </c>
      <c r="D447" s="14" t="str">
        <f>IF(A447="","",UPPER(TRIM(Form_Raw_Data!D447)))</f>
        <v/>
      </c>
      <c r="E447" s="14" t="str">
        <f>IF(A447="","",TRIM(Form_Raw_Data!E447))</f>
        <v/>
      </c>
      <c r="F447" s="12" t="str">
        <f>IF(A447="","",IF(Form_Raw_Data!F447="","",Form_Raw_Data!F447&amp;""))</f>
        <v/>
      </c>
      <c r="G447" s="14" t="str">
        <f>IF(A447="","",IF(ISNUMBER(Form_Raw_Data!F447),IF(AND(Form_Raw_Data!F447&gt;=0,Form_Raw_Data!F447&lt;=24),Form_Raw_Data!F447,""),""))</f>
        <v/>
      </c>
      <c r="H447" s="14" t="str">
        <f>IF(A447="","",TRIM(Form_Raw_Data!G447))</f>
        <v/>
      </c>
      <c r="I447" s="15" t="str">
        <f t="shared" si="6"/>
        <v/>
      </c>
      <c r="J447" s="15" t="str">
        <f>IF(A447="","",IF(COUNTIF(Lists!$A$4:$A$53,C447)&gt;0,"YES","NO"))</f>
        <v/>
      </c>
      <c r="K447" s="15" t="str">
        <f>IF(A447="","",IF(COUNTIF(Lists!$I$4:$I$53,D447)&gt;0,"YES","NO"))</f>
        <v/>
      </c>
    </row>
    <row r="448" spans="1:11" x14ac:dyDescent="0.35">
      <c r="A448" s="12" t="str">
        <f>IF(Form_Raw_Data!A448="","",Form_Raw_Data!A448)</f>
        <v/>
      </c>
      <c r="B448" s="13" t="str">
        <f>IF(A448="","",Form_Raw_Data!B448)</f>
        <v/>
      </c>
      <c r="C448" s="14" t="str">
        <f>IF(A448="","",UPPER(TRIM(Form_Raw_Data!C448)))</f>
        <v/>
      </c>
      <c r="D448" s="14" t="str">
        <f>IF(A448="","",UPPER(TRIM(Form_Raw_Data!D448)))</f>
        <v/>
      </c>
      <c r="E448" s="14" t="str">
        <f>IF(A448="","",TRIM(Form_Raw_Data!E448))</f>
        <v/>
      </c>
      <c r="F448" s="12" t="str">
        <f>IF(A448="","",IF(Form_Raw_Data!F448="","",Form_Raw_Data!F448&amp;""))</f>
        <v/>
      </c>
      <c r="G448" s="14" t="str">
        <f>IF(A448="","",IF(ISNUMBER(Form_Raw_Data!F448),IF(AND(Form_Raw_Data!F448&gt;=0,Form_Raw_Data!F448&lt;=24),Form_Raw_Data!F448,""),""))</f>
        <v/>
      </c>
      <c r="H448" s="14" t="str">
        <f>IF(A448="","",TRIM(Form_Raw_Data!G448))</f>
        <v/>
      </c>
      <c r="I448" s="15" t="str">
        <f t="shared" si="6"/>
        <v/>
      </c>
      <c r="J448" s="15" t="str">
        <f>IF(A448="","",IF(COUNTIF(Lists!$A$4:$A$53,C448)&gt;0,"YES","NO"))</f>
        <v/>
      </c>
      <c r="K448" s="15" t="str">
        <f>IF(A448="","",IF(COUNTIF(Lists!$I$4:$I$53,D448)&gt;0,"YES","NO"))</f>
        <v/>
      </c>
    </row>
    <row r="449" spans="1:11" x14ac:dyDescent="0.35">
      <c r="A449" s="12" t="str">
        <f>IF(Form_Raw_Data!A449="","",Form_Raw_Data!A449)</f>
        <v/>
      </c>
      <c r="B449" s="13" t="str">
        <f>IF(A449="","",Form_Raw_Data!B449)</f>
        <v/>
      </c>
      <c r="C449" s="14" t="str">
        <f>IF(A449="","",UPPER(TRIM(Form_Raw_Data!C449)))</f>
        <v/>
      </c>
      <c r="D449" s="14" t="str">
        <f>IF(A449="","",UPPER(TRIM(Form_Raw_Data!D449)))</f>
        <v/>
      </c>
      <c r="E449" s="14" t="str">
        <f>IF(A449="","",TRIM(Form_Raw_Data!E449))</f>
        <v/>
      </c>
      <c r="F449" s="12" t="str">
        <f>IF(A449="","",IF(Form_Raw_Data!F449="","",Form_Raw_Data!F449&amp;""))</f>
        <v/>
      </c>
      <c r="G449" s="14" t="str">
        <f>IF(A449="","",IF(ISNUMBER(Form_Raw_Data!F449),IF(AND(Form_Raw_Data!F449&gt;=0,Form_Raw_Data!F449&lt;=24),Form_Raw_Data!F449,""),""))</f>
        <v/>
      </c>
      <c r="H449" s="14" t="str">
        <f>IF(A449="","",TRIM(Form_Raw_Data!G449))</f>
        <v/>
      </c>
      <c r="I449" s="15" t="str">
        <f t="shared" si="6"/>
        <v/>
      </c>
      <c r="J449" s="15" t="str">
        <f>IF(A449="","",IF(COUNTIF(Lists!$A$4:$A$53,C449)&gt;0,"YES","NO"))</f>
        <v/>
      </c>
      <c r="K449" s="15" t="str">
        <f>IF(A449="","",IF(COUNTIF(Lists!$I$4:$I$53,D449)&gt;0,"YES","NO"))</f>
        <v/>
      </c>
    </row>
    <row r="450" spans="1:11" x14ac:dyDescent="0.35">
      <c r="A450" s="12" t="str">
        <f>IF(Form_Raw_Data!A450="","",Form_Raw_Data!A450)</f>
        <v/>
      </c>
      <c r="B450" s="13" t="str">
        <f>IF(A450="","",Form_Raw_Data!B450)</f>
        <v/>
      </c>
      <c r="C450" s="14" t="str">
        <f>IF(A450="","",UPPER(TRIM(Form_Raw_Data!C450)))</f>
        <v/>
      </c>
      <c r="D450" s="14" t="str">
        <f>IF(A450="","",UPPER(TRIM(Form_Raw_Data!D450)))</f>
        <v/>
      </c>
      <c r="E450" s="14" t="str">
        <f>IF(A450="","",TRIM(Form_Raw_Data!E450))</f>
        <v/>
      </c>
      <c r="F450" s="12" t="str">
        <f>IF(A450="","",IF(Form_Raw_Data!F450="","",Form_Raw_Data!F450&amp;""))</f>
        <v/>
      </c>
      <c r="G450" s="14" t="str">
        <f>IF(A450="","",IF(ISNUMBER(Form_Raw_Data!F450),IF(AND(Form_Raw_Data!F450&gt;=0,Form_Raw_Data!F450&lt;=24),Form_Raw_Data!F450,""),""))</f>
        <v/>
      </c>
      <c r="H450" s="14" t="str">
        <f>IF(A450="","",TRIM(Form_Raw_Data!G450))</f>
        <v/>
      </c>
      <c r="I450" s="15" t="str">
        <f t="shared" si="6"/>
        <v/>
      </c>
      <c r="J450" s="15" t="str">
        <f>IF(A450="","",IF(COUNTIF(Lists!$A$4:$A$53,C450)&gt;0,"YES","NO"))</f>
        <v/>
      </c>
      <c r="K450" s="15" t="str">
        <f>IF(A450="","",IF(COUNTIF(Lists!$I$4:$I$53,D450)&gt;0,"YES","NO"))</f>
        <v/>
      </c>
    </row>
    <row r="451" spans="1:11" x14ac:dyDescent="0.35">
      <c r="A451" s="12" t="str">
        <f>IF(Form_Raw_Data!A451="","",Form_Raw_Data!A451)</f>
        <v/>
      </c>
      <c r="B451" s="13" t="str">
        <f>IF(A451="","",Form_Raw_Data!B451)</f>
        <v/>
      </c>
      <c r="C451" s="14" t="str">
        <f>IF(A451="","",UPPER(TRIM(Form_Raw_Data!C451)))</f>
        <v/>
      </c>
      <c r="D451" s="14" t="str">
        <f>IF(A451="","",UPPER(TRIM(Form_Raw_Data!D451)))</f>
        <v/>
      </c>
      <c r="E451" s="14" t="str">
        <f>IF(A451="","",TRIM(Form_Raw_Data!E451))</f>
        <v/>
      </c>
      <c r="F451" s="12" t="str">
        <f>IF(A451="","",IF(Form_Raw_Data!F451="","",Form_Raw_Data!F451&amp;""))</f>
        <v/>
      </c>
      <c r="G451" s="14" t="str">
        <f>IF(A451="","",IF(ISNUMBER(Form_Raw_Data!F451),IF(AND(Form_Raw_Data!F451&gt;=0,Form_Raw_Data!F451&lt;=24),Form_Raw_Data!F451,""),""))</f>
        <v/>
      </c>
      <c r="H451" s="14" t="str">
        <f>IF(A451="","",TRIM(Form_Raw_Data!G451))</f>
        <v/>
      </c>
      <c r="I451" s="15" t="str">
        <f t="shared" si="6"/>
        <v/>
      </c>
      <c r="J451" s="15" t="str">
        <f>IF(A451="","",IF(COUNTIF(Lists!$A$4:$A$53,C451)&gt;0,"YES","NO"))</f>
        <v/>
      </c>
      <c r="K451" s="15" t="str">
        <f>IF(A451="","",IF(COUNTIF(Lists!$I$4:$I$53,D451)&gt;0,"YES","NO"))</f>
        <v/>
      </c>
    </row>
    <row r="452" spans="1:11" x14ac:dyDescent="0.35">
      <c r="A452" s="12" t="str">
        <f>IF(Form_Raw_Data!A452="","",Form_Raw_Data!A452)</f>
        <v/>
      </c>
      <c r="B452" s="13" t="str">
        <f>IF(A452="","",Form_Raw_Data!B452)</f>
        <v/>
      </c>
      <c r="C452" s="14" t="str">
        <f>IF(A452="","",UPPER(TRIM(Form_Raw_Data!C452)))</f>
        <v/>
      </c>
      <c r="D452" s="14" t="str">
        <f>IF(A452="","",UPPER(TRIM(Form_Raw_Data!D452)))</f>
        <v/>
      </c>
      <c r="E452" s="14" t="str">
        <f>IF(A452="","",TRIM(Form_Raw_Data!E452))</f>
        <v/>
      </c>
      <c r="F452" s="12" t="str">
        <f>IF(A452="","",IF(Form_Raw_Data!F452="","",Form_Raw_Data!F452&amp;""))</f>
        <v/>
      </c>
      <c r="G452" s="14" t="str">
        <f>IF(A452="","",IF(ISNUMBER(Form_Raw_Data!F452),IF(AND(Form_Raw_Data!F452&gt;=0,Form_Raw_Data!F452&lt;=24),Form_Raw_Data!F452,""),""))</f>
        <v/>
      </c>
      <c r="H452" s="14" t="str">
        <f>IF(A452="","",TRIM(Form_Raw_Data!G452))</f>
        <v/>
      </c>
      <c r="I452" s="15" t="str">
        <f t="shared" ref="I452:I515" si="7">IF(A452="","",IF(OR(C452="",D452="",E452="",H452="",G452=""),"ERROR","OK"))</f>
        <v/>
      </c>
      <c r="J452" s="15" t="str">
        <f>IF(A452="","",IF(COUNTIF(Lists!$A$4:$A$53,C452)&gt;0,"YES","NO"))</f>
        <v/>
      </c>
      <c r="K452" s="15" t="str">
        <f>IF(A452="","",IF(COUNTIF(Lists!$I$4:$I$53,D452)&gt;0,"YES","NO"))</f>
        <v/>
      </c>
    </row>
    <row r="453" spans="1:11" x14ac:dyDescent="0.35">
      <c r="A453" s="12" t="str">
        <f>IF(Form_Raw_Data!A453="","",Form_Raw_Data!A453)</f>
        <v/>
      </c>
      <c r="B453" s="13" t="str">
        <f>IF(A453="","",Form_Raw_Data!B453)</f>
        <v/>
      </c>
      <c r="C453" s="14" t="str">
        <f>IF(A453="","",UPPER(TRIM(Form_Raw_Data!C453)))</f>
        <v/>
      </c>
      <c r="D453" s="14" t="str">
        <f>IF(A453="","",UPPER(TRIM(Form_Raw_Data!D453)))</f>
        <v/>
      </c>
      <c r="E453" s="14" t="str">
        <f>IF(A453="","",TRIM(Form_Raw_Data!E453))</f>
        <v/>
      </c>
      <c r="F453" s="12" t="str">
        <f>IF(A453="","",IF(Form_Raw_Data!F453="","",Form_Raw_Data!F453&amp;""))</f>
        <v/>
      </c>
      <c r="G453" s="14" t="str">
        <f>IF(A453="","",IF(ISNUMBER(Form_Raw_Data!F453),IF(AND(Form_Raw_Data!F453&gt;=0,Form_Raw_Data!F453&lt;=24),Form_Raw_Data!F453,""),""))</f>
        <v/>
      </c>
      <c r="H453" s="14" t="str">
        <f>IF(A453="","",TRIM(Form_Raw_Data!G453))</f>
        <v/>
      </c>
      <c r="I453" s="15" t="str">
        <f t="shared" si="7"/>
        <v/>
      </c>
      <c r="J453" s="15" t="str">
        <f>IF(A453="","",IF(COUNTIF(Lists!$A$4:$A$53,C453)&gt;0,"YES","NO"))</f>
        <v/>
      </c>
      <c r="K453" s="15" t="str">
        <f>IF(A453="","",IF(COUNTIF(Lists!$I$4:$I$53,D453)&gt;0,"YES","NO"))</f>
        <v/>
      </c>
    </row>
    <row r="454" spans="1:11" x14ac:dyDescent="0.35">
      <c r="A454" s="12" t="str">
        <f>IF(Form_Raw_Data!A454="","",Form_Raw_Data!A454)</f>
        <v/>
      </c>
      <c r="B454" s="13" t="str">
        <f>IF(A454="","",Form_Raw_Data!B454)</f>
        <v/>
      </c>
      <c r="C454" s="14" t="str">
        <f>IF(A454="","",UPPER(TRIM(Form_Raw_Data!C454)))</f>
        <v/>
      </c>
      <c r="D454" s="14" t="str">
        <f>IF(A454="","",UPPER(TRIM(Form_Raw_Data!D454)))</f>
        <v/>
      </c>
      <c r="E454" s="14" t="str">
        <f>IF(A454="","",TRIM(Form_Raw_Data!E454))</f>
        <v/>
      </c>
      <c r="F454" s="12" t="str">
        <f>IF(A454="","",IF(Form_Raw_Data!F454="","",Form_Raw_Data!F454&amp;""))</f>
        <v/>
      </c>
      <c r="G454" s="14" t="str">
        <f>IF(A454="","",IF(ISNUMBER(Form_Raw_Data!F454),IF(AND(Form_Raw_Data!F454&gt;=0,Form_Raw_Data!F454&lt;=24),Form_Raw_Data!F454,""),""))</f>
        <v/>
      </c>
      <c r="H454" s="14" t="str">
        <f>IF(A454="","",TRIM(Form_Raw_Data!G454))</f>
        <v/>
      </c>
      <c r="I454" s="15" t="str">
        <f t="shared" si="7"/>
        <v/>
      </c>
      <c r="J454" s="15" t="str">
        <f>IF(A454="","",IF(COUNTIF(Lists!$A$4:$A$53,C454)&gt;0,"YES","NO"))</f>
        <v/>
      </c>
      <c r="K454" s="15" t="str">
        <f>IF(A454="","",IF(COUNTIF(Lists!$I$4:$I$53,D454)&gt;0,"YES","NO"))</f>
        <v/>
      </c>
    </row>
    <row r="455" spans="1:11" x14ac:dyDescent="0.35">
      <c r="A455" s="12" t="str">
        <f>IF(Form_Raw_Data!A455="","",Form_Raw_Data!A455)</f>
        <v/>
      </c>
      <c r="B455" s="13" t="str">
        <f>IF(A455="","",Form_Raw_Data!B455)</f>
        <v/>
      </c>
      <c r="C455" s="14" t="str">
        <f>IF(A455="","",UPPER(TRIM(Form_Raw_Data!C455)))</f>
        <v/>
      </c>
      <c r="D455" s="14" t="str">
        <f>IF(A455="","",UPPER(TRIM(Form_Raw_Data!D455)))</f>
        <v/>
      </c>
      <c r="E455" s="14" t="str">
        <f>IF(A455="","",TRIM(Form_Raw_Data!E455))</f>
        <v/>
      </c>
      <c r="F455" s="12" t="str">
        <f>IF(A455="","",IF(Form_Raw_Data!F455="","",Form_Raw_Data!F455&amp;""))</f>
        <v/>
      </c>
      <c r="G455" s="14" t="str">
        <f>IF(A455="","",IF(ISNUMBER(Form_Raw_Data!F455),IF(AND(Form_Raw_Data!F455&gt;=0,Form_Raw_Data!F455&lt;=24),Form_Raw_Data!F455,""),""))</f>
        <v/>
      </c>
      <c r="H455" s="14" t="str">
        <f>IF(A455="","",TRIM(Form_Raw_Data!G455))</f>
        <v/>
      </c>
      <c r="I455" s="15" t="str">
        <f t="shared" si="7"/>
        <v/>
      </c>
      <c r="J455" s="15" t="str">
        <f>IF(A455="","",IF(COUNTIF(Lists!$A$4:$A$53,C455)&gt;0,"YES","NO"))</f>
        <v/>
      </c>
      <c r="K455" s="15" t="str">
        <f>IF(A455="","",IF(COUNTIF(Lists!$I$4:$I$53,D455)&gt;0,"YES","NO"))</f>
        <v/>
      </c>
    </row>
    <row r="456" spans="1:11" x14ac:dyDescent="0.35">
      <c r="A456" s="12" t="str">
        <f>IF(Form_Raw_Data!A456="","",Form_Raw_Data!A456)</f>
        <v/>
      </c>
      <c r="B456" s="13" t="str">
        <f>IF(A456="","",Form_Raw_Data!B456)</f>
        <v/>
      </c>
      <c r="C456" s="14" t="str">
        <f>IF(A456="","",UPPER(TRIM(Form_Raw_Data!C456)))</f>
        <v/>
      </c>
      <c r="D456" s="14" t="str">
        <f>IF(A456="","",UPPER(TRIM(Form_Raw_Data!D456)))</f>
        <v/>
      </c>
      <c r="E456" s="14" t="str">
        <f>IF(A456="","",TRIM(Form_Raw_Data!E456))</f>
        <v/>
      </c>
      <c r="F456" s="12" t="str">
        <f>IF(A456="","",IF(Form_Raw_Data!F456="","",Form_Raw_Data!F456&amp;""))</f>
        <v/>
      </c>
      <c r="G456" s="14" t="str">
        <f>IF(A456="","",IF(ISNUMBER(Form_Raw_Data!F456),IF(AND(Form_Raw_Data!F456&gt;=0,Form_Raw_Data!F456&lt;=24),Form_Raw_Data!F456,""),""))</f>
        <v/>
      </c>
      <c r="H456" s="14" t="str">
        <f>IF(A456="","",TRIM(Form_Raw_Data!G456))</f>
        <v/>
      </c>
      <c r="I456" s="15" t="str">
        <f t="shared" si="7"/>
        <v/>
      </c>
      <c r="J456" s="15" t="str">
        <f>IF(A456="","",IF(COUNTIF(Lists!$A$4:$A$53,C456)&gt;0,"YES","NO"))</f>
        <v/>
      </c>
      <c r="K456" s="15" t="str">
        <f>IF(A456="","",IF(COUNTIF(Lists!$I$4:$I$53,D456)&gt;0,"YES","NO"))</f>
        <v/>
      </c>
    </row>
    <row r="457" spans="1:11" x14ac:dyDescent="0.35">
      <c r="A457" s="12" t="str">
        <f>IF(Form_Raw_Data!A457="","",Form_Raw_Data!A457)</f>
        <v/>
      </c>
      <c r="B457" s="13" t="str">
        <f>IF(A457="","",Form_Raw_Data!B457)</f>
        <v/>
      </c>
      <c r="C457" s="14" t="str">
        <f>IF(A457="","",UPPER(TRIM(Form_Raw_Data!C457)))</f>
        <v/>
      </c>
      <c r="D457" s="14" t="str">
        <f>IF(A457="","",UPPER(TRIM(Form_Raw_Data!D457)))</f>
        <v/>
      </c>
      <c r="E457" s="14" t="str">
        <f>IF(A457="","",TRIM(Form_Raw_Data!E457))</f>
        <v/>
      </c>
      <c r="F457" s="12" t="str">
        <f>IF(A457="","",IF(Form_Raw_Data!F457="","",Form_Raw_Data!F457&amp;""))</f>
        <v/>
      </c>
      <c r="G457" s="14" t="str">
        <f>IF(A457="","",IF(ISNUMBER(Form_Raw_Data!F457),IF(AND(Form_Raw_Data!F457&gt;=0,Form_Raw_Data!F457&lt;=24),Form_Raw_Data!F457,""),""))</f>
        <v/>
      </c>
      <c r="H457" s="14" t="str">
        <f>IF(A457="","",TRIM(Form_Raw_Data!G457))</f>
        <v/>
      </c>
      <c r="I457" s="15" t="str">
        <f t="shared" si="7"/>
        <v/>
      </c>
      <c r="J457" s="15" t="str">
        <f>IF(A457="","",IF(COUNTIF(Lists!$A$4:$A$53,C457)&gt;0,"YES","NO"))</f>
        <v/>
      </c>
      <c r="K457" s="15" t="str">
        <f>IF(A457="","",IF(COUNTIF(Lists!$I$4:$I$53,D457)&gt;0,"YES","NO"))</f>
        <v/>
      </c>
    </row>
    <row r="458" spans="1:11" x14ac:dyDescent="0.35">
      <c r="A458" s="12" t="str">
        <f>IF(Form_Raw_Data!A458="","",Form_Raw_Data!A458)</f>
        <v/>
      </c>
      <c r="B458" s="13" t="str">
        <f>IF(A458="","",Form_Raw_Data!B458)</f>
        <v/>
      </c>
      <c r="C458" s="14" t="str">
        <f>IF(A458="","",UPPER(TRIM(Form_Raw_Data!C458)))</f>
        <v/>
      </c>
      <c r="D458" s="14" t="str">
        <f>IF(A458="","",UPPER(TRIM(Form_Raw_Data!D458)))</f>
        <v/>
      </c>
      <c r="E458" s="14" t="str">
        <f>IF(A458="","",TRIM(Form_Raw_Data!E458))</f>
        <v/>
      </c>
      <c r="F458" s="12" t="str">
        <f>IF(A458="","",IF(Form_Raw_Data!F458="","",Form_Raw_Data!F458&amp;""))</f>
        <v/>
      </c>
      <c r="G458" s="14" t="str">
        <f>IF(A458="","",IF(ISNUMBER(Form_Raw_Data!F458),IF(AND(Form_Raw_Data!F458&gt;=0,Form_Raw_Data!F458&lt;=24),Form_Raw_Data!F458,""),""))</f>
        <v/>
      </c>
      <c r="H458" s="14" t="str">
        <f>IF(A458="","",TRIM(Form_Raw_Data!G458))</f>
        <v/>
      </c>
      <c r="I458" s="15" t="str">
        <f t="shared" si="7"/>
        <v/>
      </c>
      <c r="J458" s="15" t="str">
        <f>IF(A458="","",IF(COUNTIF(Lists!$A$4:$A$53,C458)&gt;0,"YES","NO"))</f>
        <v/>
      </c>
      <c r="K458" s="15" t="str">
        <f>IF(A458="","",IF(COUNTIF(Lists!$I$4:$I$53,D458)&gt;0,"YES","NO"))</f>
        <v/>
      </c>
    </row>
    <row r="459" spans="1:11" x14ac:dyDescent="0.35">
      <c r="A459" s="12" t="str">
        <f>IF(Form_Raw_Data!A459="","",Form_Raw_Data!A459)</f>
        <v/>
      </c>
      <c r="B459" s="13" t="str">
        <f>IF(A459="","",Form_Raw_Data!B459)</f>
        <v/>
      </c>
      <c r="C459" s="14" t="str">
        <f>IF(A459="","",UPPER(TRIM(Form_Raw_Data!C459)))</f>
        <v/>
      </c>
      <c r="D459" s="14" t="str">
        <f>IF(A459="","",UPPER(TRIM(Form_Raw_Data!D459)))</f>
        <v/>
      </c>
      <c r="E459" s="14" t="str">
        <f>IF(A459="","",TRIM(Form_Raw_Data!E459))</f>
        <v/>
      </c>
      <c r="F459" s="12" t="str">
        <f>IF(A459="","",IF(Form_Raw_Data!F459="","",Form_Raw_Data!F459&amp;""))</f>
        <v/>
      </c>
      <c r="G459" s="14" t="str">
        <f>IF(A459="","",IF(ISNUMBER(Form_Raw_Data!F459),IF(AND(Form_Raw_Data!F459&gt;=0,Form_Raw_Data!F459&lt;=24),Form_Raw_Data!F459,""),""))</f>
        <v/>
      </c>
      <c r="H459" s="14" t="str">
        <f>IF(A459="","",TRIM(Form_Raw_Data!G459))</f>
        <v/>
      </c>
      <c r="I459" s="15" t="str">
        <f t="shared" si="7"/>
        <v/>
      </c>
      <c r="J459" s="15" t="str">
        <f>IF(A459="","",IF(COUNTIF(Lists!$A$4:$A$53,C459)&gt;0,"YES","NO"))</f>
        <v/>
      </c>
      <c r="K459" s="15" t="str">
        <f>IF(A459="","",IF(COUNTIF(Lists!$I$4:$I$53,D459)&gt;0,"YES","NO"))</f>
        <v/>
      </c>
    </row>
    <row r="460" spans="1:11" x14ac:dyDescent="0.35">
      <c r="A460" s="12" t="str">
        <f>IF(Form_Raw_Data!A460="","",Form_Raw_Data!A460)</f>
        <v/>
      </c>
      <c r="B460" s="13" t="str">
        <f>IF(A460="","",Form_Raw_Data!B460)</f>
        <v/>
      </c>
      <c r="C460" s="14" t="str">
        <f>IF(A460="","",UPPER(TRIM(Form_Raw_Data!C460)))</f>
        <v/>
      </c>
      <c r="D460" s="14" t="str">
        <f>IF(A460="","",UPPER(TRIM(Form_Raw_Data!D460)))</f>
        <v/>
      </c>
      <c r="E460" s="14" t="str">
        <f>IF(A460="","",TRIM(Form_Raw_Data!E460))</f>
        <v/>
      </c>
      <c r="F460" s="12" t="str">
        <f>IF(A460="","",IF(Form_Raw_Data!F460="","",Form_Raw_Data!F460&amp;""))</f>
        <v/>
      </c>
      <c r="G460" s="14" t="str">
        <f>IF(A460="","",IF(ISNUMBER(Form_Raw_Data!F460),IF(AND(Form_Raw_Data!F460&gt;=0,Form_Raw_Data!F460&lt;=24),Form_Raw_Data!F460,""),""))</f>
        <v/>
      </c>
      <c r="H460" s="14" t="str">
        <f>IF(A460="","",TRIM(Form_Raw_Data!G460))</f>
        <v/>
      </c>
      <c r="I460" s="15" t="str">
        <f t="shared" si="7"/>
        <v/>
      </c>
      <c r="J460" s="15" t="str">
        <f>IF(A460="","",IF(COUNTIF(Lists!$A$4:$A$53,C460)&gt;0,"YES","NO"))</f>
        <v/>
      </c>
      <c r="K460" s="15" t="str">
        <f>IF(A460="","",IF(COUNTIF(Lists!$I$4:$I$53,D460)&gt;0,"YES","NO"))</f>
        <v/>
      </c>
    </row>
    <row r="461" spans="1:11" x14ac:dyDescent="0.35">
      <c r="A461" s="12" t="str">
        <f>IF(Form_Raw_Data!A461="","",Form_Raw_Data!A461)</f>
        <v/>
      </c>
      <c r="B461" s="13" t="str">
        <f>IF(A461="","",Form_Raw_Data!B461)</f>
        <v/>
      </c>
      <c r="C461" s="14" t="str">
        <f>IF(A461="","",UPPER(TRIM(Form_Raw_Data!C461)))</f>
        <v/>
      </c>
      <c r="D461" s="14" t="str">
        <f>IF(A461="","",UPPER(TRIM(Form_Raw_Data!D461)))</f>
        <v/>
      </c>
      <c r="E461" s="14" t="str">
        <f>IF(A461="","",TRIM(Form_Raw_Data!E461))</f>
        <v/>
      </c>
      <c r="F461" s="12" t="str">
        <f>IF(A461="","",IF(Form_Raw_Data!F461="","",Form_Raw_Data!F461&amp;""))</f>
        <v/>
      </c>
      <c r="G461" s="14" t="str">
        <f>IF(A461="","",IF(ISNUMBER(Form_Raw_Data!F461),IF(AND(Form_Raw_Data!F461&gt;=0,Form_Raw_Data!F461&lt;=24),Form_Raw_Data!F461,""),""))</f>
        <v/>
      </c>
      <c r="H461" s="14" t="str">
        <f>IF(A461="","",TRIM(Form_Raw_Data!G461))</f>
        <v/>
      </c>
      <c r="I461" s="15" t="str">
        <f t="shared" si="7"/>
        <v/>
      </c>
      <c r="J461" s="15" t="str">
        <f>IF(A461="","",IF(COUNTIF(Lists!$A$4:$A$53,C461)&gt;0,"YES","NO"))</f>
        <v/>
      </c>
      <c r="K461" s="15" t="str">
        <f>IF(A461="","",IF(COUNTIF(Lists!$I$4:$I$53,D461)&gt;0,"YES","NO"))</f>
        <v/>
      </c>
    </row>
    <row r="462" spans="1:11" x14ac:dyDescent="0.35">
      <c r="A462" s="12" t="str">
        <f>IF(Form_Raw_Data!A462="","",Form_Raw_Data!A462)</f>
        <v/>
      </c>
      <c r="B462" s="13" t="str">
        <f>IF(A462="","",Form_Raw_Data!B462)</f>
        <v/>
      </c>
      <c r="C462" s="14" t="str">
        <f>IF(A462="","",UPPER(TRIM(Form_Raw_Data!C462)))</f>
        <v/>
      </c>
      <c r="D462" s="14" t="str">
        <f>IF(A462="","",UPPER(TRIM(Form_Raw_Data!D462)))</f>
        <v/>
      </c>
      <c r="E462" s="14" t="str">
        <f>IF(A462="","",TRIM(Form_Raw_Data!E462))</f>
        <v/>
      </c>
      <c r="F462" s="12" t="str">
        <f>IF(A462="","",IF(Form_Raw_Data!F462="","",Form_Raw_Data!F462&amp;""))</f>
        <v/>
      </c>
      <c r="G462" s="14" t="str">
        <f>IF(A462="","",IF(ISNUMBER(Form_Raw_Data!F462),IF(AND(Form_Raw_Data!F462&gt;=0,Form_Raw_Data!F462&lt;=24),Form_Raw_Data!F462,""),""))</f>
        <v/>
      </c>
      <c r="H462" s="14" t="str">
        <f>IF(A462="","",TRIM(Form_Raw_Data!G462))</f>
        <v/>
      </c>
      <c r="I462" s="15" t="str">
        <f t="shared" si="7"/>
        <v/>
      </c>
      <c r="J462" s="15" t="str">
        <f>IF(A462="","",IF(COUNTIF(Lists!$A$4:$A$53,C462)&gt;0,"YES","NO"))</f>
        <v/>
      </c>
      <c r="K462" s="15" t="str">
        <f>IF(A462="","",IF(COUNTIF(Lists!$I$4:$I$53,D462)&gt;0,"YES","NO"))</f>
        <v/>
      </c>
    </row>
    <row r="463" spans="1:11" x14ac:dyDescent="0.35">
      <c r="A463" s="12" t="str">
        <f>IF(Form_Raw_Data!A463="","",Form_Raw_Data!A463)</f>
        <v/>
      </c>
      <c r="B463" s="13" t="str">
        <f>IF(A463="","",Form_Raw_Data!B463)</f>
        <v/>
      </c>
      <c r="C463" s="14" t="str">
        <f>IF(A463="","",UPPER(TRIM(Form_Raw_Data!C463)))</f>
        <v/>
      </c>
      <c r="D463" s="14" t="str">
        <f>IF(A463="","",UPPER(TRIM(Form_Raw_Data!D463)))</f>
        <v/>
      </c>
      <c r="E463" s="14" t="str">
        <f>IF(A463="","",TRIM(Form_Raw_Data!E463))</f>
        <v/>
      </c>
      <c r="F463" s="12" t="str">
        <f>IF(A463="","",IF(Form_Raw_Data!F463="","",Form_Raw_Data!F463&amp;""))</f>
        <v/>
      </c>
      <c r="G463" s="14" t="str">
        <f>IF(A463="","",IF(ISNUMBER(Form_Raw_Data!F463),IF(AND(Form_Raw_Data!F463&gt;=0,Form_Raw_Data!F463&lt;=24),Form_Raw_Data!F463,""),""))</f>
        <v/>
      </c>
      <c r="H463" s="14" t="str">
        <f>IF(A463="","",TRIM(Form_Raw_Data!G463))</f>
        <v/>
      </c>
      <c r="I463" s="15" t="str">
        <f t="shared" si="7"/>
        <v/>
      </c>
      <c r="J463" s="15" t="str">
        <f>IF(A463="","",IF(COUNTIF(Lists!$A$4:$A$53,C463)&gt;0,"YES","NO"))</f>
        <v/>
      </c>
      <c r="K463" s="15" t="str">
        <f>IF(A463="","",IF(COUNTIF(Lists!$I$4:$I$53,D463)&gt;0,"YES","NO"))</f>
        <v/>
      </c>
    </row>
    <row r="464" spans="1:11" x14ac:dyDescent="0.35">
      <c r="A464" s="12" t="str">
        <f>IF(Form_Raw_Data!A464="","",Form_Raw_Data!A464)</f>
        <v/>
      </c>
      <c r="B464" s="13" t="str">
        <f>IF(A464="","",Form_Raw_Data!B464)</f>
        <v/>
      </c>
      <c r="C464" s="14" t="str">
        <f>IF(A464="","",UPPER(TRIM(Form_Raw_Data!C464)))</f>
        <v/>
      </c>
      <c r="D464" s="14" t="str">
        <f>IF(A464="","",UPPER(TRIM(Form_Raw_Data!D464)))</f>
        <v/>
      </c>
      <c r="E464" s="14" t="str">
        <f>IF(A464="","",TRIM(Form_Raw_Data!E464))</f>
        <v/>
      </c>
      <c r="F464" s="12" t="str">
        <f>IF(A464="","",IF(Form_Raw_Data!F464="","",Form_Raw_Data!F464&amp;""))</f>
        <v/>
      </c>
      <c r="G464" s="14" t="str">
        <f>IF(A464="","",IF(ISNUMBER(Form_Raw_Data!F464),IF(AND(Form_Raw_Data!F464&gt;=0,Form_Raw_Data!F464&lt;=24),Form_Raw_Data!F464,""),""))</f>
        <v/>
      </c>
      <c r="H464" s="14" t="str">
        <f>IF(A464="","",TRIM(Form_Raw_Data!G464))</f>
        <v/>
      </c>
      <c r="I464" s="15" t="str">
        <f t="shared" si="7"/>
        <v/>
      </c>
      <c r="J464" s="15" t="str">
        <f>IF(A464="","",IF(COUNTIF(Lists!$A$4:$A$53,C464)&gt;0,"YES","NO"))</f>
        <v/>
      </c>
      <c r="K464" s="15" t="str">
        <f>IF(A464="","",IF(COUNTIF(Lists!$I$4:$I$53,D464)&gt;0,"YES","NO"))</f>
        <v/>
      </c>
    </row>
    <row r="465" spans="1:11" x14ac:dyDescent="0.35">
      <c r="A465" s="12" t="str">
        <f>IF(Form_Raw_Data!A465="","",Form_Raw_Data!A465)</f>
        <v/>
      </c>
      <c r="B465" s="13" t="str">
        <f>IF(A465="","",Form_Raw_Data!B465)</f>
        <v/>
      </c>
      <c r="C465" s="14" t="str">
        <f>IF(A465="","",UPPER(TRIM(Form_Raw_Data!C465)))</f>
        <v/>
      </c>
      <c r="D465" s="14" t="str">
        <f>IF(A465="","",UPPER(TRIM(Form_Raw_Data!D465)))</f>
        <v/>
      </c>
      <c r="E465" s="14" t="str">
        <f>IF(A465="","",TRIM(Form_Raw_Data!E465))</f>
        <v/>
      </c>
      <c r="F465" s="12" t="str">
        <f>IF(A465="","",IF(Form_Raw_Data!F465="","",Form_Raw_Data!F465&amp;""))</f>
        <v/>
      </c>
      <c r="G465" s="14" t="str">
        <f>IF(A465="","",IF(ISNUMBER(Form_Raw_Data!F465),IF(AND(Form_Raw_Data!F465&gt;=0,Form_Raw_Data!F465&lt;=24),Form_Raw_Data!F465,""),""))</f>
        <v/>
      </c>
      <c r="H465" s="14" t="str">
        <f>IF(A465="","",TRIM(Form_Raw_Data!G465))</f>
        <v/>
      </c>
      <c r="I465" s="15" t="str">
        <f t="shared" si="7"/>
        <v/>
      </c>
      <c r="J465" s="15" t="str">
        <f>IF(A465="","",IF(COUNTIF(Lists!$A$4:$A$53,C465)&gt;0,"YES","NO"))</f>
        <v/>
      </c>
      <c r="K465" s="15" t="str">
        <f>IF(A465="","",IF(COUNTIF(Lists!$I$4:$I$53,D465)&gt;0,"YES","NO"))</f>
        <v/>
      </c>
    </row>
    <row r="466" spans="1:11" x14ac:dyDescent="0.35">
      <c r="A466" s="12" t="str">
        <f>IF(Form_Raw_Data!A466="","",Form_Raw_Data!A466)</f>
        <v/>
      </c>
      <c r="B466" s="13" t="str">
        <f>IF(A466="","",Form_Raw_Data!B466)</f>
        <v/>
      </c>
      <c r="C466" s="14" t="str">
        <f>IF(A466="","",UPPER(TRIM(Form_Raw_Data!C466)))</f>
        <v/>
      </c>
      <c r="D466" s="14" t="str">
        <f>IF(A466="","",UPPER(TRIM(Form_Raw_Data!D466)))</f>
        <v/>
      </c>
      <c r="E466" s="14" t="str">
        <f>IF(A466="","",TRIM(Form_Raw_Data!E466))</f>
        <v/>
      </c>
      <c r="F466" s="12" t="str">
        <f>IF(A466="","",IF(Form_Raw_Data!F466="","",Form_Raw_Data!F466&amp;""))</f>
        <v/>
      </c>
      <c r="G466" s="14" t="str">
        <f>IF(A466="","",IF(ISNUMBER(Form_Raw_Data!F466),IF(AND(Form_Raw_Data!F466&gt;=0,Form_Raw_Data!F466&lt;=24),Form_Raw_Data!F466,""),""))</f>
        <v/>
      </c>
      <c r="H466" s="14" t="str">
        <f>IF(A466="","",TRIM(Form_Raw_Data!G466))</f>
        <v/>
      </c>
      <c r="I466" s="15" t="str">
        <f t="shared" si="7"/>
        <v/>
      </c>
      <c r="J466" s="15" t="str">
        <f>IF(A466="","",IF(COUNTIF(Lists!$A$4:$A$53,C466)&gt;0,"YES","NO"))</f>
        <v/>
      </c>
      <c r="K466" s="15" t="str">
        <f>IF(A466="","",IF(COUNTIF(Lists!$I$4:$I$53,D466)&gt;0,"YES","NO"))</f>
        <v/>
      </c>
    </row>
    <row r="467" spans="1:11" x14ac:dyDescent="0.35">
      <c r="A467" s="12" t="str">
        <f>IF(Form_Raw_Data!A467="","",Form_Raw_Data!A467)</f>
        <v/>
      </c>
      <c r="B467" s="13" t="str">
        <f>IF(A467="","",Form_Raw_Data!B467)</f>
        <v/>
      </c>
      <c r="C467" s="14" t="str">
        <f>IF(A467="","",UPPER(TRIM(Form_Raw_Data!C467)))</f>
        <v/>
      </c>
      <c r="D467" s="14" t="str">
        <f>IF(A467="","",UPPER(TRIM(Form_Raw_Data!D467)))</f>
        <v/>
      </c>
      <c r="E467" s="14" t="str">
        <f>IF(A467="","",TRIM(Form_Raw_Data!E467))</f>
        <v/>
      </c>
      <c r="F467" s="12" t="str">
        <f>IF(A467="","",IF(Form_Raw_Data!F467="","",Form_Raw_Data!F467&amp;""))</f>
        <v/>
      </c>
      <c r="G467" s="14" t="str">
        <f>IF(A467="","",IF(ISNUMBER(Form_Raw_Data!F467),IF(AND(Form_Raw_Data!F467&gt;=0,Form_Raw_Data!F467&lt;=24),Form_Raw_Data!F467,""),""))</f>
        <v/>
      </c>
      <c r="H467" s="14" t="str">
        <f>IF(A467="","",TRIM(Form_Raw_Data!G467))</f>
        <v/>
      </c>
      <c r="I467" s="15" t="str">
        <f t="shared" si="7"/>
        <v/>
      </c>
      <c r="J467" s="15" t="str">
        <f>IF(A467="","",IF(COUNTIF(Lists!$A$4:$A$53,C467)&gt;0,"YES","NO"))</f>
        <v/>
      </c>
      <c r="K467" s="15" t="str">
        <f>IF(A467="","",IF(COUNTIF(Lists!$I$4:$I$53,D467)&gt;0,"YES","NO"))</f>
        <v/>
      </c>
    </row>
    <row r="468" spans="1:11" x14ac:dyDescent="0.35">
      <c r="A468" s="12" t="str">
        <f>IF(Form_Raw_Data!A468="","",Form_Raw_Data!A468)</f>
        <v/>
      </c>
      <c r="B468" s="13" t="str">
        <f>IF(A468="","",Form_Raw_Data!B468)</f>
        <v/>
      </c>
      <c r="C468" s="14" t="str">
        <f>IF(A468="","",UPPER(TRIM(Form_Raw_Data!C468)))</f>
        <v/>
      </c>
      <c r="D468" s="14" t="str">
        <f>IF(A468="","",UPPER(TRIM(Form_Raw_Data!D468)))</f>
        <v/>
      </c>
      <c r="E468" s="14" t="str">
        <f>IF(A468="","",TRIM(Form_Raw_Data!E468))</f>
        <v/>
      </c>
      <c r="F468" s="12" t="str">
        <f>IF(A468="","",IF(Form_Raw_Data!F468="","",Form_Raw_Data!F468&amp;""))</f>
        <v/>
      </c>
      <c r="G468" s="14" t="str">
        <f>IF(A468="","",IF(ISNUMBER(Form_Raw_Data!F468),IF(AND(Form_Raw_Data!F468&gt;=0,Form_Raw_Data!F468&lt;=24),Form_Raw_Data!F468,""),""))</f>
        <v/>
      </c>
      <c r="H468" s="14" t="str">
        <f>IF(A468="","",TRIM(Form_Raw_Data!G468))</f>
        <v/>
      </c>
      <c r="I468" s="15" t="str">
        <f t="shared" si="7"/>
        <v/>
      </c>
      <c r="J468" s="15" t="str">
        <f>IF(A468="","",IF(COUNTIF(Lists!$A$4:$A$53,C468)&gt;0,"YES","NO"))</f>
        <v/>
      </c>
      <c r="K468" s="15" t="str">
        <f>IF(A468="","",IF(COUNTIF(Lists!$I$4:$I$53,D468)&gt;0,"YES","NO"))</f>
        <v/>
      </c>
    </row>
    <row r="469" spans="1:11" x14ac:dyDescent="0.35">
      <c r="A469" s="12" t="str">
        <f>IF(Form_Raw_Data!A469="","",Form_Raw_Data!A469)</f>
        <v/>
      </c>
      <c r="B469" s="13" t="str">
        <f>IF(A469="","",Form_Raw_Data!B469)</f>
        <v/>
      </c>
      <c r="C469" s="14" t="str">
        <f>IF(A469="","",UPPER(TRIM(Form_Raw_Data!C469)))</f>
        <v/>
      </c>
      <c r="D469" s="14" t="str">
        <f>IF(A469="","",UPPER(TRIM(Form_Raw_Data!D469)))</f>
        <v/>
      </c>
      <c r="E469" s="14" t="str">
        <f>IF(A469="","",TRIM(Form_Raw_Data!E469))</f>
        <v/>
      </c>
      <c r="F469" s="12" t="str">
        <f>IF(A469="","",IF(Form_Raw_Data!F469="","",Form_Raw_Data!F469&amp;""))</f>
        <v/>
      </c>
      <c r="G469" s="14" t="str">
        <f>IF(A469="","",IF(ISNUMBER(Form_Raw_Data!F469),IF(AND(Form_Raw_Data!F469&gt;=0,Form_Raw_Data!F469&lt;=24),Form_Raw_Data!F469,""),""))</f>
        <v/>
      </c>
      <c r="H469" s="14" t="str">
        <f>IF(A469="","",TRIM(Form_Raw_Data!G469))</f>
        <v/>
      </c>
      <c r="I469" s="15" t="str">
        <f t="shared" si="7"/>
        <v/>
      </c>
      <c r="J469" s="15" t="str">
        <f>IF(A469="","",IF(COUNTIF(Lists!$A$4:$A$53,C469)&gt;0,"YES","NO"))</f>
        <v/>
      </c>
      <c r="K469" s="15" t="str">
        <f>IF(A469="","",IF(COUNTIF(Lists!$I$4:$I$53,D469)&gt;0,"YES","NO"))</f>
        <v/>
      </c>
    </row>
    <row r="470" spans="1:11" x14ac:dyDescent="0.35">
      <c r="A470" s="12" t="str">
        <f>IF(Form_Raw_Data!A470="","",Form_Raw_Data!A470)</f>
        <v/>
      </c>
      <c r="B470" s="13" t="str">
        <f>IF(A470="","",Form_Raw_Data!B470)</f>
        <v/>
      </c>
      <c r="C470" s="14" t="str">
        <f>IF(A470="","",UPPER(TRIM(Form_Raw_Data!C470)))</f>
        <v/>
      </c>
      <c r="D470" s="14" t="str">
        <f>IF(A470="","",UPPER(TRIM(Form_Raw_Data!D470)))</f>
        <v/>
      </c>
      <c r="E470" s="14" t="str">
        <f>IF(A470="","",TRIM(Form_Raw_Data!E470))</f>
        <v/>
      </c>
      <c r="F470" s="12" t="str">
        <f>IF(A470="","",IF(Form_Raw_Data!F470="","",Form_Raw_Data!F470&amp;""))</f>
        <v/>
      </c>
      <c r="G470" s="14" t="str">
        <f>IF(A470="","",IF(ISNUMBER(Form_Raw_Data!F470),IF(AND(Form_Raw_Data!F470&gt;=0,Form_Raw_Data!F470&lt;=24),Form_Raw_Data!F470,""),""))</f>
        <v/>
      </c>
      <c r="H470" s="14" t="str">
        <f>IF(A470="","",TRIM(Form_Raw_Data!G470))</f>
        <v/>
      </c>
      <c r="I470" s="15" t="str">
        <f t="shared" si="7"/>
        <v/>
      </c>
      <c r="J470" s="15" t="str">
        <f>IF(A470="","",IF(COUNTIF(Lists!$A$4:$A$53,C470)&gt;0,"YES","NO"))</f>
        <v/>
      </c>
      <c r="K470" s="15" t="str">
        <f>IF(A470="","",IF(COUNTIF(Lists!$I$4:$I$53,D470)&gt;0,"YES","NO"))</f>
        <v/>
      </c>
    </row>
    <row r="471" spans="1:11" x14ac:dyDescent="0.35">
      <c r="A471" s="12" t="str">
        <f>IF(Form_Raw_Data!A471="","",Form_Raw_Data!A471)</f>
        <v/>
      </c>
      <c r="B471" s="13" t="str">
        <f>IF(A471="","",Form_Raw_Data!B471)</f>
        <v/>
      </c>
      <c r="C471" s="14" t="str">
        <f>IF(A471="","",UPPER(TRIM(Form_Raw_Data!C471)))</f>
        <v/>
      </c>
      <c r="D471" s="14" t="str">
        <f>IF(A471="","",UPPER(TRIM(Form_Raw_Data!D471)))</f>
        <v/>
      </c>
      <c r="E471" s="14" t="str">
        <f>IF(A471="","",TRIM(Form_Raw_Data!E471))</f>
        <v/>
      </c>
      <c r="F471" s="12" t="str">
        <f>IF(A471="","",IF(Form_Raw_Data!F471="","",Form_Raw_Data!F471&amp;""))</f>
        <v/>
      </c>
      <c r="G471" s="14" t="str">
        <f>IF(A471="","",IF(ISNUMBER(Form_Raw_Data!F471),IF(AND(Form_Raw_Data!F471&gt;=0,Form_Raw_Data!F471&lt;=24),Form_Raw_Data!F471,""),""))</f>
        <v/>
      </c>
      <c r="H471" s="14" t="str">
        <f>IF(A471="","",TRIM(Form_Raw_Data!G471))</f>
        <v/>
      </c>
      <c r="I471" s="15" t="str">
        <f t="shared" si="7"/>
        <v/>
      </c>
      <c r="J471" s="15" t="str">
        <f>IF(A471="","",IF(COUNTIF(Lists!$A$4:$A$53,C471)&gt;0,"YES","NO"))</f>
        <v/>
      </c>
      <c r="K471" s="15" t="str">
        <f>IF(A471="","",IF(COUNTIF(Lists!$I$4:$I$53,D471)&gt;0,"YES","NO"))</f>
        <v/>
      </c>
    </row>
    <row r="472" spans="1:11" x14ac:dyDescent="0.35">
      <c r="A472" s="12" t="str">
        <f>IF(Form_Raw_Data!A472="","",Form_Raw_Data!A472)</f>
        <v/>
      </c>
      <c r="B472" s="13" t="str">
        <f>IF(A472="","",Form_Raw_Data!B472)</f>
        <v/>
      </c>
      <c r="C472" s="14" t="str">
        <f>IF(A472="","",UPPER(TRIM(Form_Raw_Data!C472)))</f>
        <v/>
      </c>
      <c r="D472" s="14" t="str">
        <f>IF(A472="","",UPPER(TRIM(Form_Raw_Data!D472)))</f>
        <v/>
      </c>
      <c r="E472" s="14" t="str">
        <f>IF(A472="","",TRIM(Form_Raw_Data!E472))</f>
        <v/>
      </c>
      <c r="F472" s="12" t="str">
        <f>IF(A472="","",IF(Form_Raw_Data!F472="","",Form_Raw_Data!F472&amp;""))</f>
        <v/>
      </c>
      <c r="G472" s="14" t="str">
        <f>IF(A472="","",IF(ISNUMBER(Form_Raw_Data!F472),IF(AND(Form_Raw_Data!F472&gt;=0,Form_Raw_Data!F472&lt;=24),Form_Raw_Data!F472,""),""))</f>
        <v/>
      </c>
      <c r="H472" s="14" t="str">
        <f>IF(A472="","",TRIM(Form_Raw_Data!G472))</f>
        <v/>
      </c>
      <c r="I472" s="15" t="str">
        <f t="shared" si="7"/>
        <v/>
      </c>
      <c r="J472" s="15" t="str">
        <f>IF(A472="","",IF(COUNTIF(Lists!$A$4:$A$53,C472)&gt;0,"YES","NO"))</f>
        <v/>
      </c>
      <c r="K472" s="15" t="str">
        <f>IF(A472="","",IF(COUNTIF(Lists!$I$4:$I$53,D472)&gt;0,"YES","NO"))</f>
        <v/>
      </c>
    </row>
    <row r="473" spans="1:11" x14ac:dyDescent="0.35">
      <c r="A473" s="12" t="str">
        <f>IF(Form_Raw_Data!A473="","",Form_Raw_Data!A473)</f>
        <v/>
      </c>
      <c r="B473" s="13" t="str">
        <f>IF(A473="","",Form_Raw_Data!B473)</f>
        <v/>
      </c>
      <c r="C473" s="14" t="str">
        <f>IF(A473="","",UPPER(TRIM(Form_Raw_Data!C473)))</f>
        <v/>
      </c>
      <c r="D473" s="14" t="str">
        <f>IF(A473="","",UPPER(TRIM(Form_Raw_Data!D473)))</f>
        <v/>
      </c>
      <c r="E473" s="14" t="str">
        <f>IF(A473="","",TRIM(Form_Raw_Data!E473))</f>
        <v/>
      </c>
      <c r="F473" s="12" t="str">
        <f>IF(A473="","",IF(Form_Raw_Data!F473="","",Form_Raw_Data!F473&amp;""))</f>
        <v/>
      </c>
      <c r="G473" s="14" t="str">
        <f>IF(A473="","",IF(ISNUMBER(Form_Raw_Data!F473),IF(AND(Form_Raw_Data!F473&gt;=0,Form_Raw_Data!F473&lt;=24),Form_Raw_Data!F473,""),""))</f>
        <v/>
      </c>
      <c r="H473" s="14" t="str">
        <f>IF(A473="","",TRIM(Form_Raw_Data!G473))</f>
        <v/>
      </c>
      <c r="I473" s="15" t="str">
        <f t="shared" si="7"/>
        <v/>
      </c>
      <c r="J473" s="15" t="str">
        <f>IF(A473="","",IF(COUNTIF(Lists!$A$4:$A$53,C473)&gt;0,"YES","NO"))</f>
        <v/>
      </c>
      <c r="K473" s="15" t="str">
        <f>IF(A473="","",IF(COUNTIF(Lists!$I$4:$I$53,D473)&gt;0,"YES","NO"))</f>
        <v/>
      </c>
    </row>
    <row r="474" spans="1:11" x14ac:dyDescent="0.35">
      <c r="A474" s="12" t="str">
        <f>IF(Form_Raw_Data!A474="","",Form_Raw_Data!A474)</f>
        <v/>
      </c>
      <c r="B474" s="13" t="str">
        <f>IF(A474="","",Form_Raw_Data!B474)</f>
        <v/>
      </c>
      <c r="C474" s="14" t="str">
        <f>IF(A474="","",UPPER(TRIM(Form_Raw_Data!C474)))</f>
        <v/>
      </c>
      <c r="D474" s="14" t="str">
        <f>IF(A474="","",UPPER(TRIM(Form_Raw_Data!D474)))</f>
        <v/>
      </c>
      <c r="E474" s="14" t="str">
        <f>IF(A474="","",TRIM(Form_Raw_Data!E474))</f>
        <v/>
      </c>
      <c r="F474" s="12" t="str">
        <f>IF(A474="","",IF(Form_Raw_Data!F474="","",Form_Raw_Data!F474&amp;""))</f>
        <v/>
      </c>
      <c r="G474" s="14" t="str">
        <f>IF(A474="","",IF(ISNUMBER(Form_Raw_Data!F474),IF(AND(Form_Raw_Data!F474&gt;=0,Form_Raw_Data!F474&lt;=24),Form_Raw_Data!F474,""),""))</f>
        <v/>
      </c>
      <c r="H474" s="14" t="str">
        <f>IF(A474="","",TRIM(Form_Raw_Data!G474))</f>
        <v/>
      </c>
      <c r="I474" s="15" t="str">
        <f t="shared" si="7"/>
        <v/>
      </c>
      <c r="J474" s="15" t="str">
        <f>IF(A474="","",IF(COUNTIF(Lists!$A$4:$A$53,C474)&gt;0,"YES","NO"))</f>
        <v/>
      </c>
      <c r="K474" s="15" t="str">
        <f>IF(A474="","",IF(COUNTIF(Lists!$I$4:$I$53,D474)&gt;0,"YES","NO"))</f>
        <v/>
      </c>
    </row>
    <row r="475" spans="1:11" x14ac:dyDescent="0.35">
      <c r="A475" s="12" t="str">
        <f>IF(Form_Raw_Data!A475="","",Form_Raw_Data!A475)</f>
        <v/>
      </c>
      <c r="B475" s="13" t="str">
        <f>IF(A475="","",Form_Raw_Data!B475)</f>
        <v/>
      </c>
      <c r="C475" s="14" t="str">
        <f>IF(A475="","",UPPER(TRIM(Form_Raw_Data!C475)))</f>
        <v/>
      </c>
      <c r="D475" s="14" t="str">
        <f>IF(A475="","",UPPER(TRIM(Form_Raw_Data!D475)))</f>
        <v/>
      </c>
      <c r="E475" s="14" t="str">
        <f>IF(A475="","",TRIM(Form_Raw_Data!E475))</f>
        <v/>
      </c>
      <c r="F475" s="12" t="str">
        <f>IF(A475="","",IF(Form_Raw_Data!F475="","",Form_Raw_Data!F475&amp;""))</f>
        <v/>
      </c>
      <c r="G475" s="14" t="str">
        <f>IF(A475="","",IF(ISNUMBER(Form_Raw_Data!F475),IF(AND(Form_Raw_Data!F475&gt;=0,Form_Raw_Data!F475&lt;=24),Form_Raw_Data!F475,""),""))</f>
        <v/>
      </c>
      <c r="H475" s="14" t="str">
        <f>IF(A475="","",TRIM(Form_Raw_Data!G475))</f>
        <v/>
      </c>
      <c r="I475" s="15" t="str">
        <f t="shared" si="7"/>
        <v/>
      </c>
      <c r="J475" s="15" t="str">
        <f>IF(A475="","",IF(COUNTIF(Lists!$A$4:$A$53,C475)&gt;0,"YES","NO"))</f>
        <v/>
      </c>
      <c r="K475" s="15" t="str">
        <f>IF(A475="","",IF(COUNTIF(Lists!$I$4:$I$53,D475)&gt;0,"YES","NO"))</f>
        <v/>
      </c>
    </row>
    <row r="476" spans="1:11" x14ac:dyDescent="0.35">
      <c r="A476" s="12" t="str">
        <f>IF(Form_Raw_Data!A476="","",Form_Raw_Data!A476)</f>
        <v/>
      </c>
      <c r="B476" s="13" t="str">
        <f>IF(A476="","",Form_Raw_Data!B476)</f>
        <v/>
      </c>
      <c r="C476" s="14" t="str">
        <f>IF(A476="","",UPPER(TRIM(Form_Raw_Data!C476)))</f>
        <v/>
      </c>
      <c r="D476" s="14" t="str">
        <f>IF(A476="","",UPPER(TRIM(Form_Raw_Data!D476)))</f>
        <v/>
      </c>
      <c r="E476" s="14" t="str">
        <f>IF(A476="","",TRIM(Form_Raw_Data!E476))</f>
        <v/>
      </c>
      <c r="F476" s="12" t="str">
        <f>IF(A476="","",IF(Form_Raw_Data!F476="","",Form_Raw_Data!F476&amp;""))</f>
        <v/>
      </c>
      <c r="G476" s="14" t="str">
        <f>IF(A476="","",IF(ISNUMBER(Form_Raw_Data!F476),IF(AND(Form_Raw_Data!F476&gt;=0,Form_Raw_Data!F476&lt;=24),Form_Raw_Data!F476,""),""))</f>
        <v/>
      </c>
      <c r="H476" s="14" t="str">
        <f>IF(A476="","",TRIM(Form_Raw_Data!G476))</f>
        <v/>
      </c>
      <c r="I476" s="15" t="str">
        <f t="shared" si="7"/>
        <v/>
      </c>
      <c r="J476" s="15" t="str">
        <f>IF(A476="","",IF(COUNTIF(Lists!$A$4:$A$53,C476)&gt;0,"YES","NO"))</f>
        <v/>
      </c>
      <c r="K476" s="15" t="str">
        <f>IF(A476="","",IF(COUNTIF(Lists!$I$4:$I$53,D476)&gt;0,"YES","NO"))</f>
        <v/>
      </c>
    </row>
    <row r="477" spans="1:11" x14ac:dyDescent="0.35">
      <c r="A477" s="12" t="str">
        <f>IF(Form_Raw_Data!A477="","",Form_Raw_Data!A477)</f>
        <v/>
      </c>
      <c r="B477" s="13" t="str">
        <f>IF(A477="","",Form_Raw_Data!B477)</f>
        <v/>
      </c>
      <c r="C477" s="14" t="str">
        <f>IF(A477="","",UPPER(TRIM(Form_Raw_Data!C477)))</f>
        <v/>
      </c>
      <c r="D477" s="14" t="str">
        <f>IF(A477="","",UPPER(TRIM(Form_Raw_Data!D477)))</f>
        <v/>
      </c>
      <c r="E477" s="14" t="str">
        <f>IF(A477="","",TRIM(Form_Raw_Data!E477))</f>
        <v/>
      </c>
      <c r="F477" s="12" t="str">
        <f>IF(A477="","",IF(Form_Raw_Data!F477="","",Form_Raw_Data!F477&amp;""))</f>
        <v/>
      </c>
      <c r="G477" s="14" t="str">
        <f>IF(A477="","",IF(ISNUMBER(Form_Raw_Data!F477),IF(AND(Form_Raw_Data!F477&gt;=0,Form_Raw_Data!F477&lt;=24),Form_Raw_Data!F477,""),""))</f>
        <v/>
      </c>
      <c r="H477" s="14" t="str">
        <f>IF(A477="","",TRIM(Form_Raw_Data!G477))</f>
        <v/>
      </c>
      <c r="I477" s="15" t="str">
        <f t="shared" si="7"/>
        <v/>
      </c>
      <c r="J477" s="15" t="str">
        <f>IF(A477="","",IF(COUNTIF(Lists!$A$4:$A$53,C477)&gt;0,"YES","NO"))</f>
        <v/>
      </c>
      <c r="K477" s="15" t="str">
        <f>IF(A477="","",IF(COUNTIF(Lists!$I$4:$I$53,D477)&gt;0,"YES","NO"))</f>
        <v/>
      </c>
    </row>
    <row r="478" spans="1:11" x14ac:dyDescent="0.35">
      <c r="A478" s="12" t="str">
        <f>IF(Form_Raw_Data!A478="","",Form_Raw_Data!A478)</f>
        <v/>
      </c>
      <c r="B478" s="13" t="str">
        <f>IF(A478="","",Form_Raw_Data!B478)</f>
        <v/>
      </c>
      <c r="C478" s="14" t="str">
        <f>IF(A478="","",UPPER(TRIM(Form_Raw_Data!C478)))</f>
        <v/>
      </c>
      <c r="D478" s="14" t="str">
        <f>IF(A478="","",UPPER(TRIM(Form_Raw_Data!D478)))</f>
        <v/>
      </c>
      <c r="E478" s="14" t="str">
        <f>IF(A478="","",TRIM(Form_Raw_Data!E478))</f>
        <v/>
      </c>
      <c r="F478" s="12" t="str">
        <f>IF(A478="","",IF(Form_Raw_Data!F478="","",Form_Raw_Data!F478&amp;""))</f>
        <v/>
      </c>
      <c r="G478" s="14" t="str">
        <f>IF(A478="","",IF(ISNUMBER(Form_Raw_Data!F478),IF(AND(Form_Raw_Data!F478&gt;=0,Form_Raw_Data!F478&lt;=24),Form_Raw_Data!F478,""),""))</f>
        <v/>
      </c>
      <c r="H478" s="14" t="str">
        <f>IF(A478="","",TRIM(Form_Raw_Data!G478))</f>
        <v/>
      </c>
      <c r="I478" s="15" t="str">
        <f t="shared" si="7"/>
        <v/>
      </c>
      <c r="J478" s="15" t="str">
        <f>IF(A478="","",IF(COUNTIF(Lists!$A$4:$A$53,C478)&gt;0,"YES","NO"))</f>
        <v/>
      </c>
      <c r="K478" s="15" t="str">
        <f>IF(A478="","",IF(COUNTIF(Lists!$I$4:$I$53,D478)&gt;0,"YES","NO"))</f>
        <v/>
      </c>
    </row>
    <row r="479" spans="1:11" x14ac:dyDescent="0.35">
      <c r="A479" s="12" t="str">
        <f>IF(Form_Raw_Data!A479="","",Form_Raw_Data!A479)</f>
        <v/>
      </c>
      <c r="B479" s="13" t="str">
        <f>IF(A479="","",Form_Raw_Data!B479)</f>
        <v/>
      </c>
      <c r="C479" s="14" t="str">
        <f>IF(A479="","",UPPER(TRIM(Form_Raw_Data!C479)))</f>
        <v/>
      </c>
      <c r="D479" s="14" t="str">
        <f>IF(A479="","",UPPER(TRIM(Form_Raw_Data!D479)))</f>
        <v/>
      </c>
      <c r="E479" s="14" t="str">
        <f>IF(A479="","",TRIM(Form_Raw_Data!E479))</f>
        <v/>
      </c>
      <c r="F479" s="12" t="str">
        <f>IF(A479="","",IF(Form_Raw_Data!F479="","",Form_Raw_Data!F479&amp;""))</f>
        <v/>
      </c>
      <c r="G479" s="14" t="str">
        <f>IF(A479="","",IF(ISNUMBER(Form_Raw_Data!F479),IF(AND(Form_Raw_Data!F479&gt;=0,Form_Raw_Data!F479&lt;=24),Form_Raw_Data!F479,""),""))</f>
        <v/>
      </c>
      <c r="H479" s="14" t="str">
        <f>IF(A479="","",TRIM(Form_Raw_Data!G479))</f>
        <v/>
      </c>
      <c r="I479" s="15" t="str">
        <f t="shared" si="7"/>
        <v/>
      </c>
      <c r="J479" s="15" t="str">
        <f>IF(A479="","",IF(COUNTIF(Lists!$A$4:$A$53,C479)&gt;0,"YES","NO"))</f>
        <v/>
      </c>
      <c r="K479" s="15" t="str">
        <f>IF(A479="","",IF(COUNTIF(Lists!$I$4:$I$53,D479)&gt;0,"YES","NO"))</f>
        <v/>
      </c>
    </row>
    <row r="480" spans="1:11" x14ac:dyDescent="0.35">
      <c r="A480" s="12" t="str">
        <f>IF(Form_Raw_Data!A480="","",Form_Raw_Data!A480)</f>
        <v/>
      </c>
      <c r="B480" s="13" t="str">
        <f>IF(A480="","",Form_Raw_Data!B480)</f>
        <v/>
      </c>
      <c r="C480" s="14" t="str">
        <f>IF(A480="","",UPPER(TRIM(Form_Raw_Data!C480)))</f>
        <v/>
      </c>
      <c r="D480" s="14" t="str">
        <f>IF(A480="","",UPPER(TRIM(Form_Raw_Data!D480)))</f>
        <v/>
      </c>
      <c r="E480" s="14" t="str">
        <f>IF(A480="","",TRIM(Form_Raw_Data!E480))</f>
        <v/>
      </c>
      <c r="F480" s="12" t="str">
        <f>IF(A480="","",IF(Form_Raw_Data!F480="","",Form_Raw_Data!F480&amp;""))</f>
        <v/>
      </c>
      <c r="G480" s="14" t="str">
        <f>IF(A480="","",IF(ISNUMBER(Form_Raw_Data!F480),IF(AND(Form_Raw_Data!F480&gt;=0,Form_Raw_Data!F480&lt;=24),Form_Raw_Data!F480,""),""))</f>
        <v/>
      </c>
      <c r="H480" s="14" t="str">
        <f>IF(A480="","",TRIM(Form_Raw_Data!G480))</f>
        <v/>
      </c>
      <c r="I480" s="15" t="str">
        <f t="shared" si="7"/>
        <v/>
      </c>
      <c r="J480" s="15" t="str">
        <f>IF(A480="","",IF(COUNTIF(Lists!$A$4:$A$53,C480)&gt;0,"YES","NO"))</f>
        <v/>
      </c>
      <c r="K480" s="15" t="str">
        <f>IF(A480="","",IF(COUNTIF(Lists!$I$4:$I$53,D480)&gt;0,"YES","NO"))</f>
        <v/>
      </c>
    </row>
    <row r="481" spans="1:11" x14ac:dyDescent="0.35">
      <c r="A481" s="12" t="str">
        <f>IF(Form_Raw_Data!A481="","",Form_Raw_Data!A481)</f>
        <v/>
      </c>
      <c r="B481" s="13" t="str">
        <f>IF(A481="","",Form_Raw_Data!B481)</f>
        <v/>
      </c>
      <c r="C481" s="14" t="str">
        <f>IF(A481="","",UPPER(TRIM(Form_Raw_Data!C481)))</f>
        <v/>
      </c>
      <c r="D481" s="14" t="str">
        <f>IF(A481="","",UPPER(TRIM(Form_Raw_Data!D481)))</f>
        <v/>
      </c>
      <c r="E481" s="14" t="str">
        <f>IF(A481="","",TRIM(Form_Raw_Data!E481))</f>
        <v/>
      </c>
      <c r="F481" s="12" t="str">
        <f>IF(A481="","",IF(Form_Raw_Data!F481="","",Form_Raw_Data!F481&amp;""))</f>
        <v/>
      </c>
      <c r="G481" s="14" t="str">
        <f>IF(A481="","",IF(ISNUMBER(Form_Raw_Data!F481),IF(AND(Form_Raw_Data!F481&gt;=0,Form_Raw_Data!F481&lt;=24),Form_Raw_Data!F481,""),""))</f>
        <v/>
      </c>
      <c r="H481" s="14" t="str">
        <f>IF(A481="","",TRIM(Form_Raw_Data!G481))</f>
        <v/>
      </c>
      <c r="I481" s="15" t="str">
        <f t="shared" si="7"/>
        <v/>
      </c>
      <c r="J481" s="15" t="str">
        <f>IF(A481="","",IF(COUNTIF(Lists!$A$4:$A$53,C481)&gt;0,"YES","NO"))</f>
        <v/>
      </c>
      <c r="K481" s="15" t="str">
        <f>IF(A481="","",IF(COUNTIF(Lists!$I$4:$I$53,D481)&gt;0,"YES","NO"))</f>
        <v/>
      </c>
    </row>
    <row r="482" spans="1:11" x14ac:dyDescent="0.35">
      <c r="A482" s="12" t="str">
        <f>IF(Form_Raw_Data!A482="","",Form_Raw_Data!A482)</f>
        <v/>
      </c>
      <c r="B482" s="13" t="str">
        <f>IF(A482="","",Form_Raw_Data!B482)</f>
        <v/>
      </c>
      <c r="C482" s="14" t="str">
        <f>IF(A482="","",UPPER(TRIM(Form_Raw_Data!C482)))</f>
        <v/>
      </c>
      <c r="D482" s="14" t="str">
        <f>IF(A482="","",UPPER(TRIM(Form_Raw_Data!D482)))</f>
        <v/>
      </c>
      <c r="E482" s="14" t="str">
        <f>IF(A482="","",TRIM(Form_Raw_Data!E482))</f>
        <v/>
      </c>
      <c r="F482" s="12" t="str">
        <f>IF(A482="","",IF(Form_Raw_Data!F482="","",Form_Raw_Data!F482&amp;""))</f>
        <v/>
      </c>
      <c r="G482" s="14" t="str">
        <f>IF(A482="","",IF(ISNUMBER(Form_Raw_Data!F482),IF(AND(Form_Raw_Data!F482&gt;=0,Form_Raw_Data!F482&lt;=24),Form_Raw_Data!F482,""),""))</f>
        <v/>
      </c>
      <c r="H482" s="14" t="str">
        <f>IF(A482="","",TRIM(Form_Raw_Data!G482))</f>
        <v/>
      </c>
      <c r="I482" s="15" t="str">
        <f t="shared" si="7"/>
        <v/>
      </c>
      <c r="J482" s="15" t="str">
        <f>IF(A482="","",IF(COUNTIF(Lists!$A$4:$A$53,C482)&gt;0,"YES","NO"))</f>
        <v/>
      </c>
      <c r="K482" s="15" t="str">
        <f>IF(A482="","",IF(COUNTIF(Lists!$I$4:$I$53,D482)&gt;0,"YES","NO"))</f>
        <v/>
      </c>
    </row>
    <row r="483" spans="1:11" x14ac:dyDescent="0.35">
      <c r="A483" s="12" t="str">
        <f>IF(Form_Raw_Data!A483="","",Form_Raw_Data!A483)</f>
        <v/>
      </c>
      <c r="B483" s="13" t="str">
        <f>IF(A483="","",Form_Raw_Data!B483)</f>
        <v/>
      </c>
      <c r="C483" s="14" t="str">
        <f>IF(A483="","",UPPER(TRIM(Form_Raw_Data!C483)))</f>
        <v/>
      </c>
      <c r="D483" s="14" t="str">
        <f>IF(A483="","",UPPER(TRIM(Form_Raw_Data!D483)))</f>
        <v/>
      </c>
      <c r="E483" s="14" t="str">
        <f>IF(A483="","",TRIM(Form_Raw_Data!E483))</f>
        <v/>
      </c>
      <c r="F483" s="12" t="str">
        <f>IF(A483="","",IF(Form_Raw_Data!F483="","",Form_Raw_Data!F483&amp;""))</f>
        <v/>
      </c>
      <c r="G483" s="14" t="str">
        <f>IF(A483="","",IF(ISNUMBER(Form_Raw_Data!F483),IF(AND(Form_Raw_Data!F483&gt;=0,Form_Raw_Data!F483&lt;=24),Form_Raw_Data!F483,""),""))</f>
        <v/>
      </c>
      <c r="H483" s="14" t="str">
        <f>IF(A483="","",TRIM(Form_Raw_Data!G483))</f>
        <v/>
      </c>
      <c r="I483" s="15" t="str">
        <f t="shared" si="7"/>
        <v/>
      </c>
      <c r="J483" s="15" t="str">
        <f>IF(A483="","",IF(COUNTIF(Lists!$A$4:$A$53,C483)&gt;0,"YES","NO"))</f>
        <v/>
      </c>
      <c r="K483" s="15" t="str">
        <f>IF(A483="","",IF(COUNTIF(Lists!$I$4:$I$53,D483)&gt;0,"YES","NO"))</f>
        <v/>
      </c>
    </row>
    <row r="484" spans="1:11" x14ac:dyDescent="0.35">
      <c r="A484" s="12" t="str">
        <f>IF(Form_Raw_Data!A484="","",Form_Raw_Data!A484)</f>
        <v/>
      </c>
      <c r="B484" s="13" t="str">
        <f>IF(A484="","",Form_Raw_Data!B484)</f>
        <v/>
      </c>
      <c r="C484" s="14" t="str">
        <f>IF(A484="","",UPPER(TRIM(Form_Raw_Data!C484)))</f>
        <v/>
      </c>
      <c r="D484" s="14" t="str">
        <f>IF(A484="","",UPPER(TRIM(Form_Raw_Data!D484)))</f>
        <v/>
      </c>
      <c r="E484" s="14" t="str">
        <f>IF(A484="","",TRIM(Form_Raw_Data!E484))</f>
        <v/>
      </c>
      <c r="F484" s="12" t="str">
        <f>IF(A484="","",IF(Form_Raw_Data!F484="","",Form_Raw_Data!F484&amp;""))</f>
        <v/>
      </c>
      <c r="G484" s="14" t="str">
        <f>IF(A484="","",IF(ISNUMBER(Form_Raw_Data!F484),IF(AND(Form_Raw_Data!F484&gt;=0,Form_Raw_Data!F484&lt;=24),Form_Raw_Data!F484,""),""))</f>
        <v/>
      </c>
      <c r="H484" s="14" t="str">
        <f>IF(A484="","",TRIM(Form_Raw_Data!G484))</f>
        <v/>
      </c>
      <c r="I484" s="15" t="str">
        <f t="shared" si="7"/>
        <v/>
      </c>
      <c r="J484" s="15" t="str">
        <f>IF(A484="","",IF(COUNTIF(Lists!$A$4:$A$53,C484)&gt;0,"YES","NO"))</f>
        <v/>
      </c>
      <c r="K484" s="15" t="str">
        <f>IF(A484="","",IF(COUNTIF(Lists!$I$4:$I$53,D484)&gt;0,"YES","NO"))</f>
        <v/>
      </c>
    </row>
    <row r="485" spans="1:11" x14ac:dyDescent="0.35">
      <c r="A485" s="12" t="str">
        <f>IF(Form_Raw_Data!A485="","",Form_Raw_Data!A485)</f>
        <v/>
      </c>
      <c r="B485" s="13" t="str">
        <f>IF(A485="","",Form_Raw_Data!B485)</f>
        <v/>
      </c>
      <c r="C485" s="14" t="str">
        <f>IF(A485="","",UPPER(TRIM(Form_Raw_Data!C485)))</f>
        <v/>
      </c>
      <c r="D485" s="14" t="str">
        <f>IF(A485="","",UPPER(TRIM(Form_Raw_Data!D485)))</f>
        <v/>
      </c>
      <c r="E485" s="14" t="str">
        <f>IF(A485="","",TRIM(Form_Raw_Data!E485))</f>
        <v/>
      </c>
      <c r="F485" s="12" t="str">
        <f>IF(A485="","",IF(Form_Raw_Data!F485="","",Form_Raw_Data!F485&amp;""))</f>
        <v/>
      </c>
      <c r="G485" s="14" t="str">
        <f>IF(A485="","",IF(ISNUMBER(Form_Raw_Data!F485),IF(AND(Form_Raw_Data!F485&gt;=0,Form_Raw_Data!F485&lt;=24),Form_Raw_Data!F485,""),""))</f>
        <v/>
      </c>
      <c r="H485" s="14" t="str">
        <f>IF(A485="","",TRIM(Form_Raw_Data!G485))</f>
        <v/>
      </c>
      <c r="I485" s="15" t="str">
        <f t="shared" si="7"/>
        <v/>
      </c>
      <c r="J485" s="15" t="str">
        <f>IF(A485="","",IF(COUNTIF(Lists!$A$4:$A$53,C485)&gt;0,"YES","NO"))</f>
        <v/>
      </c>
      <c r="K485" s="15" t="str">
        <f>IF(A485="","",IF(COUNTIF(Lists!$I$4:$I$53,D485)&gt;0,"YES","NO"))</f>
        <v/>
      </c>
    </row>
    <row r="486" spans="1:11" x14ac:dyDescent="0.35">
      <c r="A486" s="12" t="str">
        <f>IF(Form_Raw_Data!A486="","",Form_Raw_Data!A486)</f>
        <v/>
      </c>
      <c r="B486" s="13" t="str">
        <f>IF(A486="","",Form_Raw_Data!B486)</f>
        <v/>
      </c>
      <c r="C486" s="14" t="str">
        <f>IF(A486="","",UPPER(TRIM(Form_Raw_Data!C486)))</f>
        <v/>
      </c>
      <c r="D486" s="14" t="str">
        <f>IF(A486="","",UPPER(TRIM(Form_Raw_Data!D486)))</f>
        <v/>
      </c>
      <c r="E486" s="14" t="str">
        <f>IF(A486="","",TRIM(Form_Raw_Data!E486))</f>
        <v/>
      </c>
      <c r="F486" s="12" t="str">
        <f>IF(A486="","",IF(Form_Raw_Data!F486="","",Form_Raw_Data!F486&amp;""))</f>
        <v/>
      </c>
      <c r="G486" s="14" t="str">
        <f>IF(A486="","",IF(ISNUMBER(Form_Raw_Data!F486),IF(AND(Form_Raw_Data!F486&gt;=0,Form_Raw_Data!F486&lt;=24),Form_Raw_Data!F486,""),""))</f>
        <v/>
      </c>
      <c r="H486" s="14" t="str">
        <f>IF(A486="","",TRIM(Form_Raw_Data!G486))</f>
        <v/>
      </c>
      <c r="I486" s="15" t="str">
        <f t="shared" si="7"/>
        <v/>
      </c>
      <c r="J486" s="15" t="str">
        <f>IF(A486="","",IF(COUNTIF(Lists!$A$4:$A$53,C486)&gt;0,"YES","NO"))</f>
        <v/>
      </c>
      <c r="K486" s="15" t="str">
        <f>IF(A486="","",IF(COUNTIF(Lists!$I$4:$I$53,D486)&gt;0,"YES","NO"))</f>
        <v/>
      </c>
    </row>
    <row r="487" spans="1:11" x14ac:dyDescent="0.35">
      <c r="A487" s="12" t="str">
        <f>IF(Form_Raw_Data!A487="","",Form_Raw_Data!A487)</f>
        <v/>
      </c>
      <c r="B487" s="13" t="str">
        <f>IF(A487="","",Form_Raw_Data!B487)</f>
        <v/>
      </c>
      <c r="C487" s="14" t="str">
        <f>IF(A487="","",UPPER(TRIM(Form_Raw_Data!C487)))</f>
        <v/>
      </c>
      <c r="D487" s="14" t="str">
        <f>IF(A487="","",UPPER(TRIM(Form_Raw_Data!D487)))</f>
        <v/>
      </c>
      <c r="E487" s="14" t="str">
        <f>IF(A487="","",TRIM(Form_Raw_Data!E487))</f>
        <v/>
      </c>
      <c r="F487" s="12" t="str">
        <f>IF(A487="","",IF(Form_Raw_Data!F487="","",Form_Raw_Data!F487&amp;""))</f>
        <v/>
      </c>
      <c r="G487" s="14" t="str">
        <f>IF(A487="","",IF(ISNUMBER(Form_Raw_Data!F487),IF(AND(Form_Raw_Data!F487&gt;=0,Form_Raw_Data!F487&lt;=24),Form_Raw_Data!F487,""),""))</f>
        <v/>
      </c>
      <c r="H487" s="14" t="str">
        <f>IF(A487="","",TRIM(Form_Raw_Data!G487))</f>
        <v/>
      </c>
      <c r="I487" s="15" t="str">
        <f t="shared" si="7"/>
        <v/>
      </c>
      <c r="J487" s="15" t="str">
        <f>IF(A487="","",IF(COUNTIF(Lists!$A$4:$A$53,C487)&gt;0,"YES","NO"))</f>
        <v/>
      </c>
      <c r="K487" s="15" t="str">
        <f>IF(A487="","",IF(COUNTIF(Lists!$I$4:$I$53,D487)&gt;0,"YES","NO"))</f>
        <v/>
      </c>
    </row>
    <row r="488" spans="1:11" x14ac:dyDescent="0.35">
      <c r="A488" s="12" t="str">
        <f>IF(Form_Raw_Data!A488="","",Form_Raw_Data!A488)</f>
        <v/>
      </c>
      <c r="B488" s="13" t="str">
        <f>IF(A488="","",Form_Raw_Data!B488)</f>
        <v/>
      </c>
      <c r="C488" s="14" t="str">
        <f>IF(A488="","",UPPER(TRIM(Form_Raw_Data!C488)))</f>
        <v/>
      </c>
      <c r="D488" s="14" t="str">
        <f>IF(A488="","",UPPER(TRIM(Form_Raw_Data!D488)))</f>
        <v/>
      </c>
      <c r="E488" s="14" t="str">
        <f>IF(A488="","",TRIM(Form_Raw_Data!E488))</f>
        <v/>
      </c>
      <c r="F488" s="12" t="str">
        <f>IF(A488="","",IF(Form_Raw_Data!F488="","",Form_Raw_Data!F488&amp;""))</f>
        <v/>
      </c>
      <c r="G488" s="14" t="str">
        <f>IF(A488="","",IF(ISNUMBER(Form_Raw_Data!F488),IF(AND(Form_Raw_Data!F488&gt;=0,Form_Raw_Data!F488&lt;=24),Form_Raw_Data!F488,""),""))</f>
        <v/>
      </c>
      <c r="H488" s="14" t="str">
        <f>IF(A488="","",TRIM(Form_Raw_Data!G488))</f>
        <v/>
      </c>
      <c r="I488" s="15" t="str">
        <f t="shared" si="7"/>
        <v/>
      </c>
      <c r="J488" s="15" t="str">
        <f>IF(A488="","",IF(COUNTIF(Lists!$A$4:$A$53,C488)&gt;0,"YES","NO"))</f>
        <v/>
      </c>
      <c r="K488" s="15" t="str">
        <f>IF(A488="","",IF(COUNTIF(Lists!$I$4:$I$53,D488)&gt;0,"YES","NO"))</f>
        <v/>
      </c>
    </row>
    <row r="489" spans="1:11" x14ac:dyDescent="0.35">
      <c r="A489" s="12" t="str">
        <f>IF(Form_Raw_Data!A489="","",Form_Raw_Data!A489)</f>
        <v/>
      </c>
      <c r="B489" s="13" t="str">
        <f>IF(A489="","",Form_Raw_Data!B489)</f>
        <v/>
      </c>
      <c r="C489" s="14" t="str">
        <f>IF(A489="","",UPPER(TRIM(Form_Raw_Data!C489)))</f>
        <v/>
      </c>
      <c r="D489" s="14" t="str">
        <f>IF(A489="","",UPPER(TRIM(Form_Raw_Data!D489)))</f>
        <v/>
      </c>
      <c r="E489" s="14" t="str">
        <f>IF(A489="","",TRIM(Form_Raw_Data!E489))</f>
        <v/>
      </c>
      <c r="F489" s="12" t="str">
        <f>IF(A489="","",IF(Form_Raw_Data!F489="","",Form_Raw_Data!F489&amp;""))</f>
        <v/>
      </c>
      <c r="G489" s="14" t="str">
        <f>IF(A489="","",IF(ISNUMBER(Form_Raw_Data!F489),IF(AND(Form_Raw_Data!F489&gt;=0,Form_Raw_Data!F489&lt;=24),Form_Raw_Data!F489,""),""))</f>
        <v/>
      </c>
      <c r="H489" s="14" t="str">
        <f>IF(A489="","",TRIM(Form_Raw_Data!G489))</f>
        <v/>
      </c>
      <c r="I489" s="15" t="str">
        <f t="shared" si="7"/>
        <v/>
      </c>
      <c r="J489" s="15" t="str">
        <f>IF(A489="","",IF(COUNTIF(Lists!$A$4:$A$53,C489)&gt;0,"YES","NO"))</f>
        <v/>
      </c>
      <c r="K489" s="15" t="str">
        <f>IF(A489="","",IF(COUNTIF(Lists!$I$4:$I$53,D489)&gt;0,"YES","NO"))</f>
        <v/>
      </c>
    </row>
    <row r="490" spans="1:11" x14ac:dyDescent="0.35">
      <c r="A490" s="12" t="str">
        <f>IF(Form_Raw_Data!A490="","",Form_Raw_Data!A490)</f>
        <v/>
      </c>
      <c r="B490" s="13" t="str">
        <f>IF(A490="","",Form_Raw_Data!B490)</f>
        <v/>
      </c>
      <c r="C490" s="14" t="str">
        <f>IF(A490="","",UPPER(TRIM(Form_Raw_Data!C490)))</f>
        <v/>
      </c>
      <c r="D490" s="14" t="str">
        <f>IF(A490="","",UPPER(TRIM(Form_Raw_Data!D490)))</f>
        <v/>
      </c>
      <c r="E490" s="14" t="str">
        <f>IF(A490="","",TRIM(Form_Raw_Data!E490))</f>
        <v/>
      </c>
      <c r="F490" s="12" t="str">
        <f>IF(A490="","",IF(Form_Raw_Data!F490="","",Form_Raw_Data!F490&amp;""))</f>
        <v/>
      </c>
      <c r="G490" s="14" t="str">
        <f>IF(A490="","",IF(ISNUMBER(Form_Raw_Data!F490),IF(AND(Form_Raw_Data!F490&gt;=0,Form_Raw_Data!F490&lt;=24),Form_Raw_Data!F490,""),""))</f>
        <v/>
      </c>
      <c r="H490" s="14" t="str">
        <f>IF(A490="","",TRIM(Form_Raw_Data!G490))</f>
        <v/>
      </c>
      <c r="I490" s="15" t="str">
        <f t="shared" si="7"/>
        <v/>
      </c>
      <c r="J490" s="15" t="str">
        <f>IF(A490="","",IF(COUNTIF(Lists!$A$4:$A$53,C490)&gt;0,"YES","NO"))</f>
        <v/>
      </c>
      <c r="K490" s="15" t="str">
        <f>IF(A490="","",IF(COUNTIF(Lists!$I$4:$I$53,D490)&gt;0,"YES","NO"))</f>
        <v/>
      </c>
    </row>
    <row r="491" spans="1:11" x14ac:dyDescent="0.35">
      <c r="A491" s="12" t="str">
        <f>IF(Form_Raw_Data!A491="","",Form_Raw_Data!A491)</f>
        <v/>
      </c>
      <c r="B491" s="13" t="str">
        <f>IF(A491="","",Form_Raw_Data!B491)</f>
        <v/>
      </c>
      <c r="C491" s="14" t="str">
        <f>IF(A491="","",UPPER(TRIM(Form_Raw_Data!C491)))</f>
        <v/>
      </c>
      <c r="D491" s="14" t="str">
        <f>IF(A491="","",UPPER(TRIM(Form_Raw_Data!D491)))</f>
        <v/>
      </c>
      <c r="E491" s="14" t="str">
        <f>IF(A491="","",TRIM(Form_Raw_Data!E491))</f>
        <v/>
      </c>
      <c r="F491" s="12" t="str">
        <f>IF(A491="","",IF(Form_Raw_Data!F491="","",Form_Raw_Data!F491&amp;""))</f>
        <v/>
      </c>
      <c r="G491" s="14" t="str">
        <f>IF(A491="","",IF(ISNUMBER(Form_Raw_Data!F491),IF(AND(Form_Raw_Data!F491&gt;=0,Form_Raw_Data!F491&lt;=24),Form_Raw_Data!F491,""),""))</f>
        <v/>
      </c>
      <c r="H491" s="14" t="str">
        <f>IF(A491="","",TRIM(Form_Raw_Data!G491))</f>
        <v/>
      </c>
      <c r="I491" s="15" t="str">
        <f t="shared" si="7"/>
        <v/>
      </c>
      <c r="J491" s="15" t="str">
        <f>IF(A491="","",IF(COUNTIF(Lists!$A$4:$A$53,C491)&gt;0,"YES","NO"))</f>
        <v/>
      </c>
      <c r="K491" s="15" t="str">
        <f>IF(A491="","",IF(COUNTIF(Lists!$I$4:$I$53,D491)&gt;0,"YES","NO"))</f>
        <v/>
      </c>
    </row>
    <row r="492" spans="1:11" x14ac:dyDescent="0.35">
      <c r="A492" s="12" t="str">
        <f>IF(Form_Raw_Data!A492="","",Form_Raw_Data!A492)</f>
        <v/>
      </c>
      <c r="B492" s="13" t="str">
        <f>IF(A492="","",Form_Raw_Data!B492)</f>
        <v/>
      </c>
      <c r="C492" s="14" t="str">
        <f>IF(A492="","",UPPER(TRIM(Form_Raw_Data!C492)))</f>
        <v/>
      </c>
      <c r="D492" s="14" t="str">
        <f>IF(A492="","",UPPER(TRIM(Form_Raw_Data!D492)))</f>
        <v/>
      </c>
      <c r="E492" s="14" t="str">
        <f>IF(A492="","",TRIM(Form_Raw_Data!E492))</f>
        <v/>
      </c>
      <c r="F492" s="12" t="str">
        <f>IF(A492="","",IF(Form_Raw_Data!F492="","",Form_Raw_Data!F492&amp;""))</f>
        <v/>
      </c>
      <c r="G492" s="14" t="str">
        <f>IF(A492="","",IF(ISNUMBER(Form_Raw_Data!F492),IF(AND(Form_Raw_Data!F492&gt;=0,Form_Raw_Data!F492&lt;=24),Form_Raw_Data!F492,""),""))</f>
        <v/>
      </c>
      <c r="H492" s="14" t="str">
        <f>IF(A492="","",TRIM(Form_Raw_Data!G492))</f>
        <v/>
      </c>
      <c r="I492" s="15" t="str">
        <f t="shared" si="7"/>
        <v/>
      </c>
      <c r="J492" s="15" t="str">
        <f>IF(A492="","",IF(COUNTIF(Lists!$A$4:$A$53,C492)&gt;0,"YES","NO"))</f>
        <v/>
      </c>
      <c r="K492" s="15" t="str">
        <f>IF(A492="","",IF(COUNTIF(Lists!$I$4:$I$53,D492)&gt;0,"YES","NO"))</f>
        <v/>
      </c>
    </row>
    <row r="493" spans="1:11" x14ac:dyDescent="0.35">
      <c r="A493" s="12" t="str">
        <f>IF(Form_Raw_Data!A493="","",Form_Raw_Data!A493)</f>
        <v/>
      </c>
      <c r="B493" s="13" t="str">
        <f>IF(A493="","",Form_Raw_Data!B493)</f>
        <v/>
      </c>
      <c r="C493" s="14" t="str">
        <f>IF(A493="","",UPPER(TRIM(Form_Raw_Data!C493)))</f>
        <v/>
      </c>
      <c r="D493" s="14" t="str">
        <f>IF(A493="","",UPPER(TRIM(Form_Raw_Data!D493)))</f>
        <v/>
      </c>
      <c r="E493" s="14" t="str">
        <f>IF(A493="","",TRIM(Form_Raw_Data!E493))</f>
        <v/>
      </c>
      <c r="F493" s="12" t="str">
        <f>IF(A493="","",IF(Form_Raw_Data!F493="","",Form_Raw_Data!F493&amp;""))</f>
        <v/>
      </c>
      <c r="G493" s="14" t="str">
        <f>IF(A493="","",IF(ISNUMBER(Form_Raw_Data!F493),IF(AND(Form_Raw_Data!F493&gt;=0,Form_Raw_Data!F493&lt;=24),Form_Raw_Data!F493,""),""))</f>
        <v/>
      </c>
      <c r="H493" s="14" t="str">
        <f>IF(A493="","",TRIM(Form_Raw_Data!G493))</f>
        <v/>
      </c>
      <c r="I493" s="15" t="str">
        <f t="shared" si="7"/>
        <v/>
      </c>
      <c r="J493" s="15" t="str">
        <f>IF(A493="","",IF(COUNTIF(Lists!$A$4:$A$53,C493)&gt;0,"YES","NO"))</f>
        <v/>
      </c>
      <c r="K493" s="15" t="str">
        <f>IF(A493="","",IF(COUNTIF(Lists!$I$4:$I$53,D493)&gt;0,"YES","NO"))</f>
        <v/>
      </c>
    </row>
    <row r="494" spans="1:11" x14ac:dyDescent="0.35">
      <c r="A494" s="12" t="str">
        <f>IF(Form_Raw_Data!A494="","",Form_Raw_Data!A494)</f>
        <v/>
      </c>
      <c r="B494" s="13" t="str">
        <f>IF(A494="","",Form_Raw_Data!B494)</f>
        <v/>
      </c>
      <c r="C494" s="14" t="str">
        <f>IF(A494="","",UPPER(TRIM(Form_Raw_Data!C494)))</f>
        <v/>
      </c>
      <c r="D494" s="14" t="str">
        <f>IF(A494="","",UPPER(TRIM(Form_Raw_Data!D494)))</f>
        <v/>
      </c>
      <c r="E494" s="14" t="str">
        <f>IF(A494="","",TRIM(Form_Raw_Data!E494))</f>
        <v/>
      </c>
      <c r="F494" s="12" t="str">
        <f>IF(A494="","",IF(Form_Raw_Data!F494="","",Form_Raw_Data!F494&amp;""))</f>
        <v/>
      </c>
      <c r="G494" s="14" t="str">
        <f>IF(A494="","",IF(ISNUMBER(Form_Raw_Data!F494),IF(AND(Form_Raw_Data!F494&gt;=0,Form_Raw_Data!F494&lt;=24),Form_Raw_Data!F494,""),""))</f>
        <v/>
      </c>
      <c r="H494" s="14" t="str">
        <f>IF(A494="","",TRIM(Form_Raw_Data!G494))</f>
        <v/>
      </c>
      <c r="I494" s="15" t="str">
        <f t="shared" si="7"/>
        <v/>
      </c>
      <c r="J494" s="15" t="str">
        <f>IF(A494="","",IF(COUNTIF(Lists!$A$4:$A$53,C494)&gt;0,"YES","NO"))</f>
        <v/>
      </c>
      <c r="K494" s="15" t="str">
        <f>IF(A494="","",IF(COUNTIF(Lists!$I$4:$I$53,D494)&gt;0,"YES","NO"))</f>
        <v/>
      </c>
    </row>
    <row r="495" spans="1:11" x14ac:dyDescent="0.35">
      <c r="A495" s="12" t="str">
        <f>IF(Form_Raw_Data!A495="","",Form_Raw_Data!A495)</f>
        <v/>
      </c>
      <c r="B495" s="13" t="str">
        <f>IF(A495="","",Form_Raw_Data!B495)</f>
        <v/>
      </c>
      <c r="C495" s="14" t="str">
        <f>IF(A495="","",UPPER(TRIM(Form_Raw_Data!C495)))</f>
        <v/>
      </c>
      <c r="D495" s="14" t="str">
        <f>IF(A495="","",UPPER(TRIM(Form_Raw_Data!D495)))</f>
        <v/>
      </c>
      <c r="E495" s="14" t="str">
        <f>IF(A495="","",TRIM(Form_Raw_Data!E495))</f>
        <v/>
      </c>
      <c r="F495" s="12" t="str">
        <f>IF(A495="","",IF(Form_Raw_Data!F495="","",Form_Raw_Data!F495&amp;""))</f>
        <v/>
      </c>
      <c r="G495" s="14" t="str">
        <f>IF(A495="","",IF(ISNUMBER(Form_Raw_Data!F495),IF(AND(Form_Raw_Data!F495&gt;=0,Form_Raw_Data!F495&lt;=24),Form_Raw_Data!F495,""),""))</f>
        <v/>
      </c>
      <c r="H495" s="14" t="str">
        <f>IF(A495="","",TRIM(Form_Raw_Data!G495))</f>
        <v/>
      </c>
      <c r="I495" s="15" t="str">
        <f t="shared" si="7"/>
        <v/>
      </c>
      <c r="J495" s="15" t="str">
        <f>IF(A495="","",IF(COUNTIF(Lists!$A$4:$A$53,C495)&gt;0,"YES","NO"))</f>
        <v/>
      </c>
      <c r="K495" s="15" t="str">
        <f>IF(A495="","",IF(COUNTIF(Lists!$I$4:$I$53,D495)&gt;0,"YES","NO"))</f>
        <v/>
      </c>
    </row>
    <row r="496" spans="1:11" x14ac:dyDescent="0.35">
      <c r="A496" s="12" t="str">
        <f>IF(Form_Raw_Data!A496="","",Form_Raw_Data!A496)</f>
        <v/>
      </c>
      <c r="B496" s="13" t="str">
        <f>IF(A496="","",Form_Raw_Data!B496)</f>
        <v/>
      </c>
      <c r="C496" s="14" t="str">
        <f>IF(A496="","",UPPER(TRIM(Form_Raw_Data!C496)))</f>
        <v/>
      </c>
      <c r="D496" s="14" t="str">
        <f>IF(A496="","",UPPER(TRIM(Form_Raw_Data!D496)))</f>
        <v/>
      </c>
      <c r="E496" s="14" t="str">
        <f>IF(A496="","",TRIM(Form_Raw_Data!E496))</f>
        <v/>
      </c>
      <c r="F496" s="12" t="str">
        <f>IF(A496="","",IF(Form_Raw_Data!F496="","",Form_Raw_Data!F496&amp;""))</f>
        <v/>
      </c>
      <c r="G496" s="14" t="str">
        <f>IF(A496="","",IF(ISNUMBER(Form_Raw_Data!F496),IF(AND(Form_Raw_Data!F496&gt;=0,Form_Raw_Data!F496&lt;=24),Form_Raw_Data!F496,""),""))</f>
        <v/>
      </c>
      <c r="H496" s="14" t="str">
        <f>IF(A496="","",TRIM(Form_Raw_Data!G496))</f>
        <v/>
      </c>
      <c r="I496" s="15" t="str">
        <f t="shared" si="7"/>
        <v/>
      </c>
      <c r="J496" s="15" t="str">
        <f>IF(A496="","",IF(COUNTIF(Lists!$A$4:$A$53,C496)&gt;0,"YES","NO"))</f>
        <v/>
      </c>
      <c r="K496" s="15" t="str">
        <f>IF(A496="","",IF(COUNTIF(Lists!$I$4:$I$53,D496)&gt;0,"YES","NO"))</f>
        <v/>
      </c>
    </row>
    <row r="497" spans="1:11" x14ac:dyDescent="0.35">
      <c r="A497" s="12" t="str">
        <f>IF(Form_Raw_Data!A497="","",Form_Raw_Data!A497)</f>
        <v/>
      </c>
      <c r="B497" s="13" t="str">
        <f>IF(A497="","",Form_Raw_Data!B497)</f>
        <v/>
      </c>
      <c r="C497" s="14" t="str">
        <f>IF(A497="","",UPPER(TRIM(Form_Raw_Data!C497)))</f>
        <v/>
      </c>
      <c r="D497" s="14" t="str">
        <f>IF(A497="","",UPPER(TRIM(Form_Raw_Data!D497)))</f>
        <v/>
      </c>
      <c r="E497" s="14" t="str">
        <f>IF(A497="","",TRIM(Form_Raw_Data!E497))</f>
        <v/>
      </c>
      <c r="F497" s="12" t="str">
        <f>IF(A497="","",IF(Form_Raw_Data!F497="","",Form_Raw_Data!F497&amp;""))</f>
        <v/>
      </c>
      <c r="G497" s="14" t="str">
        <f>IF(A497="","",IF(ISNUMBER(Form_Raw_Data!F497),IF(AND(Form_Raw_Data!F497&gt;=0,Form_Raw_Data!F497&lt;=24),Form_Raw_Data!F497,""),""))</f>
        <v/>
      </c>
      <c r="H497" s="14" t="str">
        <f>IF(A497="","",TRIM(Form_Raw_Data!G497))</f>
        <v/>
      </c>
      <c r="I497" s="15" t="str">
        <f t="shared" si="7"/>
        <v/>
      </c>
      <c r="J497" s="15" t="str">
        <f>IF(A497="","",IF(COUNTIF(Lists!$A$4:$A$53,C497)&gt;0,"YES","NO"))</f>
        <v/>
      </c>
      <c r="K497" s="15" t="str">
        <f>IF(A497="","",IF(COUNTIF(Lists!$I$4:$I$53,D497)&gt;0,"YES","NO"))</f>
        <v/>
      </c>
    </row>
    <row r="498" spans="1:11" x14ac:dyDescent="0.35">
      <c r="A498" s="12" t="str">
        <f>IF(Form_Raw_Data!A498="","",Form_Raw_Data!A498)</f>
        <v/>
      </c>
      <c r="B498" s="13" t="str">
        <f>IF(A498="","",Form_Raw_Data!B498)</f>
        <v/>
      </c>
      <c r="C498" s="14" t="str">
        <f>IF(A498="","",UPPER(TRIM(Form_Raw_Data!C498)))</f>
        <v/>
      </c>
      <c r="D498" s="14" t="str">
        <f>IF(A498="","",UPPER(TRIM(Form_Raw_Data!D498)))</f>
        <v/>
      </c>
      <c r="E498" s="14" t="str">
        <f>IF(A498="","",TRIM(Form_Raw_Data!E498))</f>
        <v/>
      </c>
      <c r="F498" s="12" t="str">
        <f>IF(A498="","",IF(Form_Raw_Data!F498="","",Form_Raw_Data!F498&amp;""))</f>
        <v/>
      </c>
      <c r="G498" s="14" t="str">
        <f>IF(A498="","",IF(ISNUMBER(Form_Raw_Data!F498),IF(AND(Form_Raw_Data!F498&gt;=0,Form_Raw_Data!F498&lt;=24),Form_Raw_Data!F498,""),""))</f>
        <v/>
      </c>
      <c r="H498" s="14" t="str">
        <f>IF(A498="","",TRIM(Form_Raw_Data!G498))</f>
        <v/>
      </c>
      <c r="I498" s="15" t="str">
        <f t="shared" si="7"/>
        <v/>
      </c>
      <c r="J498" s="15" t="str">
        <f>IF(A498="","",IF(COUNTIF(Lists!$A$4:$A$53,C498)&gt;0,"YES","NO"))</f>
        <v/>
      </c>
      <c r="K498" s="15" t="str">
        <f>IF(A498="","",IF(COUNTIF(Lists!$I$4:$I$53,D498)&gt;0,"YES","NO"))</f>
        <v/>
      </c>
    </row>
    <row r="499" spans="1:11" x14ac:dyDescent="0.35">
      <c r="A499" s="12" t="str">
        <f>IF(Form_Raw_Data!A499="","",Form_Raw_Data!A499)</f>
        <v/>
      </c>
      <c r="B499" s="13" t="str">
        <f>IF(A499="","",Form_Raw_Data!B499)</f>
        <v/>
      </c>
      <c r="C499" s="14" t="str">
        <f>IF(A499="","",UPPER(TRIM(Form_Raw_Data!C499)))</f>
        <v/>
      </c>
      <c r="D499" s="14" t="str">
        <f>IF(A499="","",UPPER(TRIM(Form_Raw_Data!D499)))</f>
        <v/>
      </c>
      <c r="E499" s="14" t="str">
        <f>IF(A499="","",TRIM(Form_Raw_Data!E499))</f>
        <v/>
      </c>
      <c r="F499" s="12" t="str">
        <f>IF(A499="","",IF(Form_Raw_Data!F499="","",Form_Raw_Data!F499&amp;""))</f>
        <v/>
      </c>
      <c r="G499" s="14" t="str">
        <f>IF(A499="","",IF(ISNUMBER(Form_Raw_Data!F499),IF(AND(Form_Raw_Data!F499&gt;=0,Form_Raw_Data!F499&lt;=24),Form_Raw_Data!F499,""),""))</f>
        <v/>
      </c>
      <c r="H499" s="14" t="str">
        <f>IF(A499="","",TRIM(Form_Raw_Data!G499))</f>
        <v/>
      </c>
      <c r="I499" s="15" t="str">
        <f t="shared" si="7"/>
        <v/>
      </c>
      <c r="J499" s="15" t="str">
        <f>IF(A499="","",IF(COUNTIF(Lists!$A$4:$A$53,C499)&gt;0,"YES","NO"))</f>
        <v/>
      </c>
      <c r="K499" s="15" t="str">
        <f>IF(A499="","",IF(COUNTIF(Lists!$I$4:$I$53,D499)&gt;0,"YES","NO"))</f>
        <v/>
      </c>
    </row>
    <row r="500" spans="1:11" x14ac:dyDescent="0.35">
      <c r="A500" s="12" t="str">
        <f>IF(Form_Raw_Data!A500="","",Form_Raw_Data!A500)</f>
        <v/>
      </c>
      <c r="B500" s="13" t="str">
        <f>IF(A500="","",Form_Raw_Data!B500)</f>
        <v/>
      </c>
      <c r="C500" s="14" t="str">
        <f>IF(A500="","",UPPER(TRIM(Form_Raw_Data!C500)))</f>
        <v/>
      </c>
      <c r="D500" s="14" t="str">
        <f>IF(A500="","",UPPER(TRIM(Form_Raw_Data!D500)))</f>
        <v/>
      </c>
      <c r="E500" s="14" t="str">
        <f>IF(A500="","",TRIM(Form_Raw_Data!E500))</f>
        <v/>
      </c>
      <c r="F500" s="12" t="str">
        <f>IF(A500="","",IF(Form_Raw_Data!F500="","",Form_Raw_Data!F500&amp;""))</f>
        <v/>
      </c>
      <c r="G500" s="14" t="str">
        <f>IF(A500="","",IF(ISNUMBER(Form_Raw_Data!F500),IF(AND(Form_Raw_Data!F500&gt;=0,Form_Raw_Data!F500&lt;=24),Form_Raw_Data!F500,""),""))</f>
        <v/>
      </c>
      <c r="H500" s="14" t="str">
        <f>IF(A500="","",TRIM(Form_Raw_Data!G500))</f>
        <v/>
      </c>
      <c r="I500" s="15" t="str">
        <f t="shared" si="7"/>
        <v/>
      </c>
      <c r="J500" s="15" t="str">
        <f>IF(A500="","",IF(COUNTIF(Lists!$A$4:$A$53,C500)&gt;0,"YES","NO"))</f>
        <v/>
      </c>
      <c r="K500" s="15" t="str">
        <f>IF(A500="","",IF(COUNTIF(Lists!$I$4:$I$53,D500)&gt;0,"YES","NO"))</f>
        <v/>
      </c>
    </row>
    <row r="501" spans="1:11" x14ac:dyDescent="0.35">
      <c r="A501" s="12" t="str">
        <f>IF(Form_Raw_Data!A501="","",Form_Raw_Data!A501)</f>
        <v/>
      </c>
      <c r="B501" s="13" t="str">
        <f>IF(A501="","",Form_Raw_Data!B501)</f>
        <v/>
      </c>
      <c r="C501" s="14" t="str">
        <f>IF(A501="","",UPPER(TRIM(Form_Raw_Data!C501)))</f>
        <v/>
      </c>
      <c r="D501" s="14" t="str">
        <f>IF(A501="","",UPPER(TRIM(Form_Raw_Data!D501)))</f>
        <v/>
      </c>
      <c r="E501" s="14" t="str">
        <f>IF(A501="","",TRIM(Form_Raw_Data!E501))</f>
        <v/>
      </c>
      <c r="F501" s="12" t="str">
        <f>IF(A501="","",IF(Form_Raw_Data!F501="","",Form_Raw_Data!F501&amp;""))</f>
        <v/>
      </c>
      <c r="G501" s="14" t="str">
        <f>IF(A501="","",IF(ISNUMBER(Form_Raw_Data!F501),IF(AND(Form_Raw_Data!F501&gt;=0,Form_Raw_Data!F501&lt;=24),Form_Raw_Data!F501,""),""))</f>
        <v/>
      </c>
      <c r="H501" s="14" t="str">
        <f>IF(A501="","",TRIM(Form_Raw_Data!G501))</f>
        <v/>
      </c>
      <c r="I501" s="15" t="str">
        <f t="shared" si="7"/>
        <v/>
      </c>
      <c r="J501" s="15" t="str">
        <f>IF(A501="","",IF(COUNTIF(Lists!$A$4:$A$53,C501)&gt;0,"YES","NO"))</f>
        <v/>
      </c>
      <c r="K501" s="15" t="str">
        <f>IF(A501="","",IF(COUNTIF(Lists!$I$4:$I$53,D501)&gt;0,"YES","NO"))</f>
        <v/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1"/>
  <sheetViews>
    <sheetView showGridLines="0" workbookViewId="0">
      <selection activeCell="G26" sqref="G26"/>
    </sheetView>
  </sheetViews>
  <sheetFormatPr defaultRowHeight="14.5" x14ac:dyDescent="0.35"/>
  <cols>
    <col min="1" max="7" width="14" customWidth="1"/>
    <col min="8" max="8" width="16" customWidth="1"/>
    <col min="9" max="10" width="14" customWidth="1"/>
    <col min="11" max="11" width="18" customWidth="1"/>
  </cols>
  <sheetData>
    <row r="1" spans="1:11" ht="21" x14ac:dyDescent="0.35">
      <c r="A1" s="35" t="s">
        <v>91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1" x14ac:dyDescent="0.35">
      <c r="A3" s="10" t="s">
        <v>48</v>
      </c>
      <c r="B3" s="10" t="s">
        <v>92</v>
      </c>
      <c r="C3" s="10" t="s">
        <v>93</v>
      </c>
      <c r="D3" s="10" t="s">
        <v>94</v>
      </c>
      <c r="E3" s="10" t="s">
        <v>95</v>
      </c>
      <c r="F3" s="10" t="s">
        <v>96</v>
      </c>
      <c r="G3" s="10" t="s">
        <v>97</v>
      </c>
      <c r="H3" s="10" t="s">
        <v>98</v>
      </c>
      <c r="I3" s="10" t="s">
        <v>99</v>
      </c>
      <c r="J3" s="10" t="s">
        <v>100</v>
      </c>
      <c r="K3" s="10" t="s">
        <v>101</v>
      </c>
    </row>
    <row r="4" spans="1:11" x14ac:dyDescent="0.35">
      <c r="A4" s="8" t="str">
        <f>Clean_Data!A4</f>
        <v>TT001</v>
      </c>
      <c r="B4" s="16" t="str">
        <f>IF(A4="","",IF(Clean_Data!C4="","FAIL","PASS"))</f>
        <v>PASS</v>
      </c>
      <c r="C4" s="16" t="str">
        <f>IF(A4="","",IF(AND(Clean_Data!C4&lt;&gt;"",Clean_Data!J4="NO"),"FAIL","PASS"))</f>
        <v>PASS</v>
      </c>
      <c r="D4" s="16" t="str">
        <f>IF(A4="","",IF(Clean_Data!E4="","FAIL","PASS"))</f>
        <v>PASS</v>
      </c>
      <c r="E4" s="16" t="str">
        <f>IF(A4="","",IF(Clean_Data!G4="","FAIL","PASS"))</f>
        <v>PASS</v>
      </c>
      <c r="F4" s="16" t="str">
        <f>IF(A4="","",IF(Clean_Data!G4="","OK",IF(Clean_Data!G4&gt;16,"FLAG","OK")))</f>
        <v>OK</v>
      </c>
      <c r="G4" s="16" t="str">
        <f>IF(A4="","",IF(Clean_Data!H4="","FAIL","PASS"))</f>
        <v>PASS</v>
      </c>
      <c r="H4" s="16" t="str">
        <f>IF(A4="","",IF(OR(Clean_Data!D4="",Clean_Data!K4="NO"),"FAIL","PASS"))</f>
        <v>PASS</v>
      </c>
      <c r="I4" s="16" t="str">
        <f t="shared" ref="I4:I67" si="0">IF(A4="","",IF(COUNTIF(B4:H4,"FAIL")&gt;0,"ERROR",IF(COUNTIF(B4:H4,"FLAG")&gt;0,"REVIEW","OK")))</f>
        <v>OK</v>
      </c>
      <c r="J4" s="17">
        <f t="shared" ref="J4:J67" si="1">IF(A4="","",IF(B4="FAIL",300,0)+IF(C4="FAIL",350,0)+IF(D4="FAIL",250,0)+IF(E4="FAIL",400,0)+IF(F4="FLAG",150,0)+IF(G4="FAIL",200,0)+IF(H4="FAIL",200,0))</f>
        <v>0</v>
      </c>
      <c r="K4" s="16" t="str">
        <f t="shared" ref="K4:K67" si="2">IF(A4="","",IF(B4="FAIL","Missing name",IF(C4="FAIL","Unknown lineman",IF(D4="FAIL","Missing job",IF(E4="FAIL","Invalid hours",IF(F4="FLAG","Hours outlier",IF(G4="FAIL","Missing area",IF(H4="FAIL","Missing foreman","OK"))))))))</f>
        <v>OK</v>
      </c>
    </row>
    <row r="5" spans="1:11" x14ac:dyDescent="0.35">
      <c r="A5" s="8" t="str">
        <f>Clean_Data!A5</f>
        <v>TT002</v>
      </c>
      <c r="B5" s="16" t="str">
        <f>IF(A5="","",IF(Clean_Data!C5="","FAIL","PASS"))</f>
        <v>PASS</v>
      </c>
      <c r="C5" s="16" t="str">
        <f>IF(A5="","",IF(AND(Clean_Data!C5&lt;&gt;"",Clean_Data!J5="NO"),"FAIL","PASS"))</f>
        <v>PASS</v>
      </c>
      <c r="D5" s="16" t="str">
        <f>IF(A5="","",IF(Clean_Data!E5="","FAIL","PASS"))</f>
        <v>PASS</v>
      </c>
      <c r="E5" s="16" t="str">
        <f>IF(A5="","",IF(Clean_Data!G5="","FAIL","PASS"))</f>
        <v>PASS</v>
      </c>
      <c r="F5" s="16" t="str">
        <f>IF(A5="","",IF(Clean_Data!G5="","OK",IF(Clean_Data!G5&gt;16,"FLAG","OK")))</f>
        <v>OK</v>
      </c>
      <c r="G5" s="16" t="str">
        <f>IF(A5="","",IF(Clean_Data!H5="","FAIL","PASS"))</f>
        <v>PASS</v>
      </c>
      <c r="H5" s="16" t="str">
        <f>IF(A5="","",IF(OR(Clean_Data!D5="",Clean_Data!K5="NO"),"FAIL","PASS"))</f>
        <v>PASS</v>
      </c>
      <c r="I5" s="16" t="str">
        <f t="shared" si="0"/>
        <v>OK</v>
      </c>
      <c r="J5" s="17">
        <f t="shared" si="1"/>
        <v>0</v>
      </c>
      <c r="K5" s="16" t="str">
        <f t="shared" si="2"/>
        <v>OK</v>
      </c>
    </row>
    <row r="6" spans="1:11" x14ac:dyDescent="0.35">
      <c r="A6" s="8" t="str">
        <f>Clean_Data!A6</f>
        <v>TT003</v>
      </c>
      <c r="B6" s="16" t="str">
        <f>IF(A6="","",IF(Clean_Data!C6="","FAIL","PASS"))</f>
        <v>PASS</v>
      </c>
      <c r="C6" s="16" t="str">
        <f>IF(A6="","",IF(AND(Clean_Data!C6&lt;&gt;"",Clean_Data!J6="NO"),"FAIL","PASS"))</f>
        <v>PASS</v>
      </c>
      <c r="D6" s="16" t="str">
        <f>IF(A6="","",IF(Clean_Data!E6="","FAIL","PASS"))</f>
        <v>PASS</v>
      </c>
      <c r="E6" s="16" t="str">
        <f>IF(A6="","",IF(Clean_Data!G6="","FAIL","PASS"))</f>
        <v>PASS</v>
      </c>
      <c r="F6" s="16" t="str">
        <f>IF(A6="","",IF(Clean_Data!G6="","OK",IF(Clean_Data!G6&gt;16,"FLAG","OK")))</f>
        <v>OK</v>
      </c>
      <c r="G6" s="16" t="str">
        <f>IF(A6="","",IF(Clean_Data!H6="","FAIL","PASS"))</f>
        <v>PASS</v>
      </c>
      <c r="H6" s="16" t="str">
        <f>IF(A6="","",IF(OR(Clean_Data!D6="",Clean_Data!K6="NO"),"FAIL","PASS"))</f>
        <v>PASS</v>
      </c>
      <c r="I6" s="16" t="str">
        <f t="shared" si="0"/>
        <v>OK</v>
      </c>
      <c r="J6" s="17">
        <f t="shared" si="1"/>
        <v>0</v>
      </c>
      <c r="K6" s="16" t="str">
        <f t="shared" si="2"/>
        <v>OK</v>
      </c>
    </row>
    <row r="7" spans="1:11" x14ac:dyDescent="0.35">
      <c r="A7" s="8" t="str">
        <f>Clean_Data!A7</f>
        <v>TT004</v>
      </c>
      <c r="B7" s="16" t="str">
        <f>IF(A7="","",IF(Clean_Data!C7="","FAIL","PASS"))</f>
        <v>PASS</v>
      </c>
      <c r="C7" s="16" t="str">
        <f>IF(A7="","",IF(AND(Clean_Data!C7&lt;&gt;"",Clean_Data!J7="NO"),"FAIL","PASS"))</f>
        <v>PASS</v>
      </c>
      <c r="D7" s="16" t="str">
        <f>IF(A7="","",IF(Clean_Data!E7="","FAIL","PASS"))</f>
        <v>PASS</v>
      </c>
      <c r="E7" s="16" t="str">
        <f>IF(A7="","",IF(Clean_Data!G7="","FAIL","PASS"))</f>
        <v>FAIL</v>
      </c>
      <c r="F7" s="16" t="str">
        <f>IF(A7="","",IF(Clean_Data!G7="","OK",IF(Clean_Data!G7&gt;16,"FLAG","OK")))</f>
        <v>OK</v>
      </c>
      <c r="G7" s="16" t="str">
        <f>IF(A7="","",IF(Clean_Data!H7="","FAIL","PASS"))</f>
        <v>PASS</v>
      </c>
      <c r="H7" s="16" t="str">
        <f>IF(A7="","",IF(OR(Clean_Data!D7="",Clean_Data!K7="NO"),"FAIL","PASS"))</f>
        <v>PASS</v>
      </c>
      <c r="I7" s="16" t="str">
        <f t="shared" si="0"/>
        <v>ERROR</v>
      </c>
      <c r="J7" s="17">
        <f t="shared" si="1"/>
        <v>400</v>
      </c>
      <c r="K7" s="16" t="str">
        <f t="shared" si="2"/>
        <v>Invalid hours</v>
      </c>
    </row>
    <row r="8" spans="1:11" x14ac:dyDescent="0.35">
      <c r="A8" s="8" t="str">
        <f>Clean_Data!A8</f>
        <v>TT005</v>
      </c>
      <c r="B8" s="16" t="str">
        <f>IF(A8="","",IF(Clean_Data!C8="","FAIL","PASS"))</f>
        <v>PASS</v>
      </c>
      <c r="C8" s="16" t="str">
        <f>IF(A8="","",IF(AND(Clean_Data!C8&lt;&gt;"",Clean_Data!J8="NO"),"FAIL","PASS"))</f>
        <v>PASS</v>
      </c>
      <c r="D8" s="16" t="str">
        <f>IF(A8="","",IF(Clean_Data!E8="","FAIL","PASS"))</f>
        <v>PASS</v>
      </c>
      <c r="E8" s="16" t="str">
        <f>IF(A8="","",IF(Clean_Data!G8="","FAIL","PASS"))</f>
        <v>FAIL</v>
      </c>
      <c r="F8" s="16" t="str">
        <f>IF(A8="","",IF(Clean_Data!G8="","OK",IF(Clean_Data!G8&gt;16,"FLAG","OK")))</f>
        <v>OK</v>
      </c>
      <c r="G8" s="16" t="str">
        <f>IF(A8="","",IF(Clean_Data!H8="","FAIL","PASS"))</f>
        <v>PASS</v>
      </c>
      <c r="H8" s="16" t="str">
        <f>IF(A8="","",IF(OR(Clean_Data!D8="",Clean_Data!K8="NO"),"FAIL","PASS"))</f>
        <v>PASS</v>
      </c>
      <c r="I8" s="16" t="str">
        <f t="shared" si="0"/>
        <v>ERROR</v>
      </c>
      <c r="J8" s="17">
        <f t="shared" si="1"/>
        <v>400</v>
      </c>
      <c r="K8" s="16" t="str">
        <f t="shared" si="2"/>
        <v>Invalid hours</v>
      </c>
    </row>
    <row r="9" spans="1:11" x14ac:dyDescent="0.35">
      <c r="A9" s="8" t="str">
        <f>Clean_Data!A9</f>
        <v>TT006</v>
      </c>
      <c r="B9" s="16" t="str">
        <f>IF(A9="","",IF(Clean_Data!C9="","FAIL","PASS"))</f>
        <v>FAIL</v>
      </c>
      <c r="C9" s="16" t="str">
        <f>IF(A9="","",IF(AND(Clean_Data!C9&lt;&gt;"",Clean_Data!J9="NO"),"FAIL","PASS"))</f>
        <v>PASS</v>
      </c>
      <c r="D9" s="16" t="str">
        <f>IF(A9="","",IF(Clean_Data!E9="","FAIL","PASS"))</f>
        <v>PASS</v>
      </c>
      <c r="E9" s="16" t="str">
        <f>IF(A9="","",IF(Clean_Data!G9="","FAIL","PASS"))</f>
        <v>PASS</v>
      </c>
      <c r="F9" s="16" t="str">
        <f>IF(A9="","",IF(Clean_Data!G9="","OK",IF(Clean_Data!G9&gt;16,"FLAG","OK")))</f>
        <v>OK</v>
      </c>
      <c r="G9" s="16" t="str">
        <f>IF(A9="","",IF(Clean_Data!H9="","FAIL","PASS"))</f>
        <v>PASS</v>
      </c>
      <c r="H9" s="16" t="str">
        <f>IF(A9="","",IF(OR(Clean_Data!D9="",Clean_Data!K9="NO"),"FAIL","PASS"))</f>
        <v>PASS</v>
      </c>
      <c r="I9" s="16" t="str">
        <f t="shared" si="0"/>
        <v>ERROR</v>
      </c>
      <c r="J9" s="17">
        <f t="shared" si="1"/>
        <v>300</v>
      </c>
      <c r="K9" s="16" t="str">
        <f t="shared" si="2"/>
        <v>Missing name</v>
      </c>
    </row>
    <row r="10" spans="1:11" x14ac:dyDescent="0.35">
      <c r="A10" s="8" t="str">
        <f>Clean_Data!A10</f>
        <v>TT007</v>
      </c>
      <c r="B10" s="16" t="str">
        <f>IF(A10="","",IF(Clean_Data!C10="","FAIL","PASS"))</f>
        <v>PASS</v>
      </c>
      <c r="C10" s="16" t="str">
        <f>IF(A10="","",IF(AND(Clean_Data!C10&lt;&gt;"",Clean_Data!J10="NO"),"FAIL","PASS"))</f>
        <v>PASS</v>
      </c>
      <c r="D10" s="16" t="str">
        <f>IF(A10="","",IF(Clean_Data!E10="","FAIL","PASS"))</f>
        <v>FAIL</v>
      </c>
      <c r="E10" s="16" t="str">
        <f>IF(A10="","",IF(Clean_Data!G10="","FAIL","PASS"))</f>
        <v>PASS</v>
      </c>
      <c r="F10" s="16" t="str">
        <f>IF(A10="","",IF(Clean_Data!G10="","OK",IF(Clean_Data!G10&gt;16,"FLAG","OK")))</f>
        <v>OK</v>
      </c>
      <c r="G10" s="16" t="str">
        <f>IF(A10="","",IF(Clean_Data!H10="","FAIL","PASS"))</f>
        <v>PASS</v>
      </c>
      <c r="H10" s="16" t="str">
        <f>IF(A10="","",IF(OR(Clean_Data!D10="",Clean_Data!K10="NO"),"FAIL","PASS"))</f>
        <v>PASS</v>
      </c>
      <c r="I10" s="16" t="str">
        <f t="shared" si="0"/>
        <v>ERROR</v>
      </c>
      <c r="J10" s="17">
        <f t="shared" si="1"/>
        <v>250</v>
      </c>
      <c r="K10" s="16" t="str">
        <f t="shared" si="2"/>
        <v>Missing job</v>
      </c>
    </row>
    <row r="11" spans="1:11" x14ac:dyDescent="0.35">
      <c r="A11" s="8" t="str">
        <f>Clean_Data!A11</f>
        <v>TT008</v>
      </c>
      <c r="B11" s="16" t="str">
        <f>IF(A11="","",IF(Clean_Data!C11="","FAIL","PASS"))</f>
        <v>PASS</v>
      </c>
      <c r="C11" s="16" t="str">
        <f>IF(A11="","",IF(AND(Clean_Data!C11&lt;&gt;"",Clean_Data!J11="NO"),"FAIL","PASS"))</f>
        <v>PASS</v>
      </c>
      <c r="D11" s="16" t="str">
        <f>IF(A11="","",IF(Clean_Data!E11="","FAIL","PASS"))</f>
        <v>PASS</v>
      </c>
      <c r="E11" s="16" t="str">
        <f>IF(A11="","",IF(Clean_Data!G11="","FAIL","PASS"))</f>
        <v>FAIL</v>
      </c>
      <c r="F11" s="16" t="str">
        <f>IF(A11="","",IF(Clean_Data!G11="","OK",IF(Clean_Data!G11&gt;16,"FLAG","OK")))</f>
        <v>OK</v>
      </c>
      <c r="G11" s="16" t="str">
        <f>IF(A11="","",IF(Clean_Data!H11="","FAIL","PASS"))</f>
        <v>PASS</v>
      </c>
      <c r="H11" s="16" t="str">
        <f>IF(A11="","",IF(OR(Clean_Data!D11="",Clean_Data!K11="NO"),"FAIL","PASS"))</f>
        <v>PASS</v>
      </c>
      <c r="I11" s="16" t="str">
        <f t="shared" si="0"/>
        <v>ERROR</v>
      </c>
      <c r="J11" s="17">
        <f t="shared" si="1"/>
        <v>400</v>
      </c>
      <c r="K11" s="16" t="str">
        <f t="shared" si="2"/>
        <v>Invalid hours</v>
      </c>
    </row>
    <row r="12" spans="1:11" x14ac:dyDescent="0.35">
      <c r="A12" s="8" t="str">
        <f>Clean_Data!A12</f>
        <v>TT009</v>
      </c>
      <c r="B12" s="16" t="str">
        <f>IF(A12="","",IF(Clean_Data!C12="","FAIL","PASS"))</f>
        <v>PASS</v>
      </c>
      <c r="C12" s="16" t="str">
        <f>IF(A12="","",IF(AND(Clean_Data!C12&lt;&gt;"",Clean_Data!J12="NO"),"FAIL","PASS"))</f>
        <v>FAIL</v>
      </c>
      <c r="D12" s="16" t="str">
        <f>IF(A12="","",IF(Clean_Data!E12="","FAIL","PASS"))</f>
        <v>PASS</v>
      </c>
      <c r="E12" s="16" t="str">
        <f>IF(A12="","",IF(Clean_Data!G12="","FAIL","PASS"))</f>
        <v>PASS</v>
      </c>
      <c r="F12" s="16" t="str">
        <f>IF(A12="","",IF(Clean_Data!G12="","OK",IF(Clean_Data!G12&gt;16,"FLAG","OK")))</f>
        <v>OK</v>
      </c>
      <c r="G12" s="16" t="str">
        <f>IF(A12="","",IF(Clean_Data!H12="","FAIL","PASS"))</f>
        <v>PASS</v>
      </c>
      <c r="H12" s="16" t="str">
        <f>IF(A12="","",IF(OR(Clean_Data!D12="",Clean_Data!K12="NO"),"FAIL","PASS"))</f>
        <v>PASS</v>
      </c>
      <c r="I12" s="16" t="str">
        <f t="shared" si="0"/>
        <v>ERROR</v>
      </c>
      <c r="J12" s="17">
        <f t="shared" si="1"/>
        <v>350</v>
      </c>
      <c r="K12" s="16" t="str">
        <f t="shared" si="2"/>
        <v>Unknown lineman</v>
      </c>
    </row>
    <row r="13" spans="1:11" x14ac:dyDescent="0.35">
      <c r="A13" s="8" t="str">
        <f>Clean_Data!A13</f>
        <v>TT010</v>
      </c>
      <c r="B13" s="16" t="str">
        <f>IF(A13="","",IF(Clean_Data!C13="","FAIL","PASS"))</f>
        <v>PASS</v>
      </c>
      <c r="C13" s="16" t="str">
        <f>IF(A13="","",IF(AND(Clean_Data!C13&lt;&gt;"",Clean_Data!J13="NO"),"FAIL","PASS"))</f>
        <v>PASS</v>
      </c>
      <c r="D13" s="16" t="str">
        <f>IF(A13="","",IF(Clean_Data!E13="","FAIL","PASS"))</f>
        <v>PASS</v>
      </c>
      <c r="E13" s="16" t="str">
        <f>IF(A13="","",IF(Clean_Data!G13="","FAIL","PASS"))</f>
        <v>PASS</v>
      </c>
      <c r="F13" s="16" t="str">
        <f>IF(A13="","",IF(Clean_Data!G13="","OK",IF(Clean_Data!G13&gt;16,"FLAG","OK")))</f>
        <v>OK</v>
      </c>
      <c r="G13" s="16" t="str">
        <f>IF(A13="","",IF(Clean_Data!H13="","FAIL","PASS"))</f>
        <v>PASS</v>
      </c>
      <c r="H13" s="16" t="str">
        <f>IF(A13="","",IF(OR(Clean_Data!D13="",Clean_Data!K13="NO"),"FAIL","PASS"))</f>
        <v>FAIL</v>
      </c>
      <c r="I13" s="16" t="str">
        <f t="shared" si="0"/>
        <v>ERROR</v>
      </c>
      <c r="J13" s="17">
        <f t="shared" si="1"/>
        <v>200</v>
      </c>
      <c r="K13" s="16" t="str">
        <f t="shared" si="2"/>
        <v>Missing foreman</v>
      </c>
    </row>
    <row r="14" spans="1:11" x14ac:dyDescent="0.35">
      <c r="A14" s="8" t="str">
        <f>Clean_Data!A14</f>
        <v/>
      </c>
      <c r="B14" s="16" t="str">
        <f>IF(A14="","",IF(Clean_Data!C14="","FAIL","PASS"))</f>
        <v/>
      </c>
      <c r="C14" s="16" t="str">
        <f>IF(A14="","",IF(AND(Clean_Data!C14&lt;&gt;"",Clean_Data!J14="NO"),"FAIL","PASS"))</f>
        <v/>
      </c>
      <c r="D14" s="16" t="str">
        <f>IF(A14="","",IF(Clean_Data!E14="","FAIL","PASS"))</f>
        <v/>
      </c>
      <c r="E14" s="16" t="str">
        <f>IF(A14="","",IF(Clean_Data!G14="","FAIL","PASS"))</f>
        <v/>
      </c>
      <c r="F14" s="16" t="str">
        <f>IF(A14="","",IF(Clean_Data!G14="","OK",IF(Clean_Data!G14&gt;16,"FLAG","OK")))</f>
        <v/>
      </c>
      <c r="G14" s="16" t="str">
        <f>IF(A14="","",IF(Clean_Data!H14="","FAIL","PASS"))</f>
        <v/>
      </c>
      <c r="H14" s="16" t="str">
        <f>IF(A14="","",IF(OR(Clean_Data!D14="",Clean_Data!K14="NO"),"FAIL","PASS"))</f>
        <v/>
      </c>
      <c r="I14" s="16" t="str">
        <f t="shared" si="0"/>
        <v/>
      </c>
      <c r="J14" s="17" t="str">
        <f t="shared" si="1"/>
        <v/>
      </c>
      <c r="K14" s="16" t="str">
        <f t="shared" si="2"/>
        <v/>
      </c>
    </row>
    <row r="15" spans="1:11" x14ac:dyDescent="0.35">
      <c r="A15" s="8" t="str">
        <f>Clean_Data!A15</f>
        <v/>
      </c>
      <c r="B15" s="16" t="str">
        <f>IF(A15="","",IF(Clean_Data!C15="","FAIL","PASS"))</f>
        <v/>
      </c>
      <c r="C15" s="16" t="str">
        <f>IF(A15="","",IF(AND(Clean_Data!C15&lt;&gt;"",Clean_Data!J15="NO"),"FAIL","PASS"))</f>
        <v/>
      </c>
      <c r="D15" s="16" t="str">
        <f>IF(A15="","",IF(Clean_Data!E15="","FAIL","PASS"))</f>
        <v/>
      </c>
      <c r="E15" s="16" t="str">
        <f>IF(A15="","",IF(Clean_Data!G15="","FAIL","PASS"))</f>
        <v/>
      </c>
      <c r="F15" s="16" t="str">
        <f>IF(A15="","",IF(Clean_Data!G15="","OK",IF(Clean_Data!G15&gt;16,"FLAG","OK")))</f>
        <v/>
      </c>
      <c r="G15" s="16" t="str">
        <f>IF(A15="","",IF(Clean_Data!H15="","FAIL","PASS"))</f>
        <v/>
      </c>
      <c r="H15" s="16" t="str">
        <f>IF(A15="","",IF(OR(Clean_Data!D15="",Clean_Data!K15="NO"),"FAIL","PASS"))</f>
        <v/>
      </c>
      <c r="I15" s="16" t="str">
        <f t="shared" si="0"/>
        <v/>
      </c>
      <c r="J15" s="17" t="str">
        <f t="shared" si="1"/>
        <v/>
      </c>
      <c r="K15" s="16" t="str">
        <f t="shared" si="2"/>
        <v/>
      </c>
    </row>
    <row r="16" spans="1:11" x14ac:dyDescent="0.35">
      <c r="A16" s="8" t="str">
        <f>Clean_Data!A16</f>
        <v/>
      </c>
      <c r="B16" s="16" t="str">
        <f>IF(A16="","",IF(Clean_Data!C16="","FAIL","PASS"))</f>
        <v/>
      </c>
      <c r="C16" s="16" t="str">
        <f>IF(A16="","",IF(AND(Clean_Data!C16&lt;&gt;"",Clean_Data!J16="NO"),"FAIL","PASS"))</f>
        <v/>
      </c>
      <c r="D16" s="16" t="str">
        <f>IF(A16="","",IF(Clean_Data!E16="","FAIL","PASS"))</f>
        <v/>
      </c>
      <c r="E16" s="16" t="str">
        <f>IF(A16="","",IF(Clean_Data!G16="","FAIL","PASS"))</f>
        <v/>
      </c>
      <c r="F16" s="16" t="str">
        <f>IF(A16="","",IF(Clean_Data!G16="","OK",IF(Clean_Data!G16&gt;16,"FLAG","OK")))</f>
        <v/>
      </c>
      <c r="G16" s="16" t="str">
        <f>IF(A16="","",IF(Clean_Data!H16="","FAIL","PASS"))</f>
        <v/>
      </c>
      <c r="H16" s="16" t="str">
        <f>IF(A16="","",IF(OR(Clean_Data!D16="",Clean_Data!K16="NO"),"FAIL","PASS"))</f>
        <v/>
      </c>
      <c r="I16" s="16" t="str">
        <f t="shared" si="0"/>
        <v/>
      </c>
      <c r="J16" s="17" t="str">
        <f t="shared" si="1"/>
        <v/>
      </c>
      <c r="K16" s="16" t="str">
        <f t="shared" si="2"/>
        <v/>
      </c>
    </row>
    <row r="17" spans="1:11" x14ac:dyDescent="0.35">
      <c r="A17" s="8" t="str">
        <f>Clean_Data!A17</f>
        <v/>
      </c>
      <c r="B17" s="16" t="str">
        <f>IF(A17="","",IF(Clean_Data!C17="","FAIL","PASS"))</f>
        <v/>
      </c>
      <c r="C17" s="16" t="str">
        <f>IF(A17="","",IF(AND(Clean_Data!C17&lt;&gt;"",Clean_Data!J17="NO"),"FAIL","PASS"))</f>
        <v/>
      </c>
      <c r="D17" s="16" t="str">
        <f>IF(A17="","",IF(Clean_Data!E17="","FAIL","PASS"))</f>
        <v/>
      </c>
      <c r="E17" s="16" t="str">
        <f>IF(A17="","",IF(Clean_Data!G17="","FAIL","PASS"))</f>
        <v/>
      </c>
      <c r="F17" s="16" t="str">
        <f>IF(A17="","",IF(Clean_Data!G17="","OK",IF(Clean_Data!G17&gt;16,"FLAG","OK")))</f>
        <v/>
      </c>
      <c r="G17" s="16" t="str">
        <f>IF(A17="","",IF(Clean_Data!H17="","FAIL","PASS"))</f>
        <v/>
      </c>
      <c r="H17" s="16" t="str">
        <f>IF(A17="","",IF(OR(Clean_Data!D17="",Clean_Data!K17="NO"),"FAIL","PASS"))</f>
        <v/>
      </c>
      <c r="I17" s="16" t="str">
        <f t="shared" si="0"/>
        <v/>
      </c>
      <c r="J17" s="17" t="str">
        <f t="shared" si="1"/>
        <v/>
      </c>
      <c r="K17" s="16" t="str">
        <f t="shared" si="2"/>
        <v/>
      </c>
    </row>
    <row r="18" spans="1:11" x14ac:dyDescent="0.35">
      <c r="A18" s="8" t="str">
        <f>Clean_Data!A18</f>
        <v/>
      </c>
      <c r="B18" s="16" t="str">
        <f>IF(A18="","",IF(Clean_Data!C18="","FAIL","PASS"))</f>
        <v/>
      </c>
      <c r="C18" s="16" t="str">
        <f>IF(A18="","",IF(AND(Clean_Data!C18&lt;&gt;"",Clean_Data!J18="NO"),"FAIL","PASS"))</f>
        <v/>
      </c>
      <c r="D18" s="16" t="str">
        <f>IF(A18="","",IF(Clean_Data!E18="","FAIL","PASS"))</f>
        <v/>
      </c>
      <c r="E18" s="16" t="str">
        <f>IF(A18="","",IF(Clean_Data!G18="","FAIL","PASS"))</f>
        <v/>
      </c>
      <c r="F18" s="16" t="str">
        <f>IF(A18="","",IF(Clean_Data!G18="","OK",IF(Clean_Data!G18&gt;16,"FLAG","OK")))</f>
        <v/>
      </c>
      <c r="G18" s="16" t="str">
        <f>IF(A18="","",IF(Clean_Data!H18="","FAIL","PASS"))</f>
        <v/>
      </c>
      <c r="H18" s="16" t="str">
        <f>IF(A18="","",IF(OR(Clean_Data!D18="",Clean_Data!K18="NO"),"FAIL","PASS"))</f>
        <v/>
      </c>
      <c r="I18" s="16" t="str">
        <f t="shared" si="0"/>
        <v/>
      </c>
      <c r="J18" s="17" t="str">
        <f t="shared" si="1"/>
        <v/>
      </c>
      <c r="K18" s="16" t="str">
        <f t="shared" si="2"/>
        <v/>
      </c>
    </row>
    <row r="19" spans="1:11" x14ac:dyDescent="0.35">
      <c r="A19" s="8" t="str">
        <f>Clean_Data!A19</f>
        <v/>
      </c>
      <c r="B19" s="16" t="str">
        <f>IF(A19="","",IF(Clean_Data!C19="","FAIL","PASS"))</f>
        <v/>
      </c>
      <c r="C19" s="16" t="str">
        <f>IF(A19="","",IF(AND(Clean_Data!C19&lt;&gt;"",Clean_Data!J19="NO"),"FAIL","PASS"))</f>
        <v/>
      </c>
      <c r="D19" s="16" t="str">
        <f>IF(A19="","",IF(Clean_Data!E19="","FAIL","PASS"))</f>
        <v/>
      </c>
      <c r="E19" s="16" t="str">
        <f>IF(A19="","",IF(Clean_Data!G19="","FAIL","PASS"))</f>
        <v/>
      </c>
      <c r="F19" s="16" t="str">
        <f>IF(A19="","",IF(Clean_Data!G19="","OK",IF(Clean_Data!G19&gt;16,"FLAG","OK")))</f>
        <v/>
      </c>
      <c r="G19" s="16" t="str">
        <f>IF(A19="","",IF(Clean_Data!H19="","FAIL","PASS"))</f>
        <v/>
      </c>
      <c r="H19" s="16" t="str">
        <f>IF(A19="","",IF(OR(Clean_Data!D19="",Clean_Data!K19="NO"),"FAIL","PASS"))</f>
        <v/>
      </c>
      <c r="I19" s="16" t="str">
        <f t="shared" si="0"/>
        <v/>
      </c>
      <c r="J19" s="17" t="str">
        <f t="shared" si="1"/>
        <v/>
      </c>
      <c r="K19" s="16" t="str">
        <f t="shared" si="2"/>
        <v/>
      </c>
    </row>
    <row r="20" spans="1:11" x14ac:dyDescent="0.35">
      <c r="A20" s="8" t="str">
        <f>Clean_Data!A20</f>
        <v/>
      </c>
      <c r="B20" s="16" t="str">
        <f>IF(A20="","",IF(Clean_Data!C20="","FAIL","PASS"))</f>
        <v/>
      </c>
      <c r="C20" s="16" t="str">
        <f>IF(A20="","",IF(AND(Clean_Data!C20&lt;&gt;"",Clean_Data!J20="NO"),"FAIL","PASS"))</f>
        <v/>
      </c>
      <c r="D20" s="16" t="str">
        <f>IF(A20="","",IF(Clean_Data!E20="","FAIL","PASS"))</f>
        <v/>
      </c>
      <c r="E20" s="16" t="str">
        <f>IF(A20="","",IF(Clean_Data!G20="","FAIL","PASS"))</f>
        <v/>
      </c>
      <c r="F20" s="16" t="str">
        <f>IF(A20="","",IF(Clean_Data!G20="","OK",IF(Clean_Data!G20&gt;16,"FLAG","OK")))</f>
        <v/>
      </c>
      <c r="G20" s="16" t="str">
        <f>IF(A20="","",IF(Clean_Data!H20="","FAIL","PASS"))</f>
        <v/>
      </c>
      <c r="H20" s="16" t="str">
        <f>IF(A20="","",IF(OR(Clean_Data!D20="",Clean_Data!K20="NO"),"FAIL","PASS"))</f>
        <v/>
      </c>
      <c r="I20" s="16" t="str">
        <f t="shared" si="0"/>
        <v/>
      </c>
      <c r="J20" s="17" t="str">
        <f t="shared" si="1"/>
        <v/>
      </c>
      <c r="K20" s="16" t="str">
        <f t="shared" si="2"/>
        <v/>
      </c>
    </row>
    <row r="21" spans="1:11" x14ac:dyDescent="0.35">
      <c r="A21" s="8" t="str">
        <f>Clean_Data!A21</f>
        <v/>
      </c>
      <c r="B21" s="16" t="str">
        <f>IF(A21="","",IF(Clean_Data!C21="","FAIL","PASS"))</f>
        <v/>
      </c>
      <c r="C21" s="16" t="str">
        <f>IF(A21="","",IF(AND(Clean_Data!C21&lt;&gt;"",Clean_Data!J21="NO"),"FAIL","PASS"))</f>
        <v/>
      </c>
      <c r="D21" s="16" t="str">
        <f>IF(A21="","",IF(Clean_Data!E21="","FAIL","PASS"))</f>
        <v/>
      </c>
      <c r="E21" s="16" t="str">
        <f>IF(A21="","",IF(Clean_Data!G21="","FAIL","PASS"))</f>
        <v/>
      </c>
      <c r="F21" s="16" t="str">
        <f>IF(A21="","",IF(Clean_Data!G21="","OK",IF(Clean_Data!G21&gt;16,"FLAG","OK")))</f>
        <v/>
      </c>
      <c r="G21" s="16" t="str">
        <f>IF(A21="","",IF(Clean_Data!H21="","FAIL","PASS"))</f>
        <v/>
      </c>
      <c r="H21" s="16" t="str">
        <f>IF(A21="","",IF(OR(Clean_Data!D21="",Clean_Data!K21="NO"),"FAIL","PASS"))</f>
        <v/>
      </c>
      <c r="I21" s="16" t="str">
        <f t="shared" si="0"/>
        <v/>
      </c>
      <c r="J21" s="17" t="str">
        <f t="shared" si="1"/>
        <v/>
      </c>
      <c r="K21" s="16" t="str">
        <f t="shared" si="2"/>
        <v/>
      </c>
    </row>
    <row r="22" spans="1:11" x14ac:dyDescent="0.35">
      <c r="A22" s="8" t="str">
        <f>Clean_Data!A22</f>
        <v/>
      </c>
      <c r="B22" s="16" t="str">
        <f>IF(A22="","",IF(Clean_Data!C22="","FAIL","PASS"))</f>
        <v/>
      </c>
      <c r="C22" s="16" t="str">
        <f>IF(A22="","",IF(AND(Clean_Data!C22&lt;&gt;"",Clean_Data!J22="NO"),"FAIL","PASS"))</f>
        <v/>
      </c>
      <c r="D22" s="16" t="str">
        <f>IF(A22="","",IF(Clean_Data!E22="","FAIL","PASS"))</f>
        <v/>
      </c>
      <c r="E22" s="16" t="str">
        <f>IF(A22="","",IF(Clean_Data!G22="","FAIL","PASS"))</f>
        <v/>
      </c>
      <c r="F22" s="16" t="str">
        <f>IF(A22="","",IF(Clean_Data!G22="","OK",IF(Clean_Data!G22&gt;16,"FLAG","OK")))</f>
        <v/>
      </c>
      <c r="G22" s="16" t="str">
        <f>IF(A22="","",IF(Clean_Data!H22="","FAIL","PASS"))</f>
        <v/>
      </c>
      <c r="H22" s="16" t="str">
        <f>IF(A22="","",IF(OR(Clean_Data!D22="",Clean_Data!K22="NO"),"FAIL","PASS"))</f>
        <v/>
      </c>
      <c r="I22" s="16" t="str">
        <f t="shared" si="0"/>
        <v/>
      </c>
      <c r="J22" s="17" t="str">
        <f t="shared" si="1"/>
        <v/>
      </c>
      <c r="K22" s="16" t="str">
        <f t="shared" si="2"/>
        <v/>
      </c>
    </row>
    <row r="23" spans="1:11" x14ac:dyDescent="0.35">
      <c r="A23" s="8" t="str">
        <f>Clean_Data!A23</f>
        <v/>
      </c>
      <c r="B23" s="16" t="str">
        <f>IF(A23="","",IF(Clean_Data!C23="","FAIL","PASS"))</f>
        <v/>
      </c>
      <c r="C23" s="16" t="str">
        <f>IF(A23="","",IF(AND(Clean_Data!C23&lt;&gt;"",Clean_Data!J23="NO"),"FAIL","PASS"))</f>
        <v/>
      </c>
      <c r="D23" s="16" t="str">
        <f>IF(A23="","",IF(Clean_Data!E23="","FAIL","PASS"))</f>
        <v/>
      </c>
      <c r="E23" s="16" t="str">
        <f>IF(A23="","",IF(Clean_Data!G23="","FAIL","PASS"))</f>
        <v/>
      </c>
      <c r="F23" s="16" t="str">
        <f>IF(A23="","",IF(Clean_Data!G23="","OK",IF(Clean_Data!G23&gt;16,"FLAG","OK")))</f>
        <v/>
      </c>
      <c r="G23" s="16" t="str">
        <f>IF(A23="","",IF(Clean_Data!H23="","FAIL","PASS"))</f>
        <v/>
      </c>
      <c r="H23" s="16" t="str">
        <f>IF(A23="","",IF(OR(Clean_Data!D23="",Clean_Data!K23="NO"),"FAIL","PASS"))</f>
        <v/>
      </c>
      <c r="I23" s="16" t="str">
        <f t="shared" si="0"/>
        <v/>
      </c>
      <c r="J23" s="17" t="str">
        <f t="shared" si="1"/>
        <v/>
      </c>
      <c r="K23" s="16" t="str">
        <f t="shared" si="2"/>
        <v/>
      </c>
    </row>
    <row r="24" spans="1:11" x14ac:dyDescent="0.35">
      <c r="A24" s="8" t="str">
        <f>Clean_Data!A24</f>
        <v/>
      </c>
      <c r="B24" s="16" t="str">
        <f>IF(A24="","",IF(Clean_Data!C24="","FAIL","PASS"))</f>
        <v/>
      </c>
      <c r="C24" s="16" t="str">
        <f>IF(A24="","",IF(AND(Clean_Data!C24&lt;&gt;"",Clean_Data!J24="NO"),"FAIL","PASS"))</f>
        <v/>
      </c>
      <c r="D24" s="16" t="str">
        <f>IF(A24="","",IF(Clean_Data!E24="","FAIL","PASS"))</f>
        <v/>
      </c>
      <c r="E24" s="16" t="str">
        <f>IF(A24="","",IF(Clean_Data!G24="","FAIL","PASS"))</f>
        <v/>
      </c>
      <c r="F24" s="16" t="str">
        <f>IF(A24="","",IF(Clean_Data!G24="","OK",IF(Clean_Data!G24&gt;16,"FLAG","OK")))</f>
        <v/>
      </c>
      <c r="G24" s="16" t="str">
        <f>IF(A24="","",IF(Clean_Data!H24="","FAIL","PASS"))</f>
        <v/>
      </c>
      <c r="H24" s="16" t="str">
        <f>IF(A24="","",IF(OR(Clean_Data!D24="",Clean_Data!K24="NO"),"FAIL","PASS"))</f>
        <v/>
      </c>
      <c r="I24" s="16" t="str">
        <f t="shared" si="0"/>
        <v/>
      </c>
      <c r="J24" s="17" t="str">
        <f t="shared" si="1"/>
        <v/>
      </c>
      <c r="K24" s="16" t="str">
        <f t="shared" si="2"/>
        <v/>
      </c>
    </row>
    <row r="25" spans="1:11" x14ac:dyDescent="0.35">
      <c r="A25" s="8" t="str">
        <f>Clean_Data!A25</f>
        <v/>
      </c>
      <c r="B25" s="16" t="str">
        <f>IF(A25="","",IF(Clean_Data!C25="","FAIL","PASS"))</f>
        <v/>
      </c>
      <c r="C25" s="16" t="str">
        <f>IF(A25="","",IF(AND(Clean_Data!C25&lt;&gt;"",Clean_Data!J25="NO"),"FAIL","PASS"))</f>
        <v/>
      </c>
      <c r="D25" s="16" t="str">
        <f>IF(A25="","",IF(Clean_Data!E25="","FAIL","PASS"))</f>
        <v/>
      </c>
      <c r="E25" s="16" t="str">
        <f>IF(A25="","",IF(Clean_Data!G25="","FAIL","PASS"))</f>
        <v/>
      </c>
      <c r="F25" s="16" t="str">
        <f>IF(A25="","",IF(Clean_Data!G25="","OK",IF(Clean_Data!G25&gt;16,"FLAG","OK")))</f>
        <v/>
      </c>
      <c r="G25" s="16" t="str">
        <f>IF(A25="","",IF(Clean_Data!H25="","FAIL","PASS"))</f>
        <v/>
      </c>
      <c r="H25" s="16" t="str">
        <f>IF(A25="","",IF(OR(Clean_Data!D25="",Clean_Data!K25="NO"),"FAIL","PASS"))</f>
        <v/>
      </c>
      <c r="I25" s="16" t="str">
        <f t="shared" si="0"/>
        <v/>
      </c>
      <c r="J25" s="17" t="str">
        <f t="shared" si="1"/>
        <v/>
      </c>
      <c r="K25" s="16" t="str">
        <f t="shared" si="2"/>
        <v/>
      </c>
    </row>
    <row r="26" spans="1:11" x14ac:dyDescent="0.35">
      <c r="A26" s="8" t="str">
        <f>Clean_Data!A26</f>
        <v/>
      </c>
      <c r="B26" s="16" t="str">
        <f>IF(A26="","",IF(Clean_Data!C26="","FAIL","PASS"))</f>
        <v/>
      </c>
      <c r="C26" s="16" t="str">
        <f>IF(A26="","",IF(AND(Clean_Data!C26&lt;&gt;"",Clean_Data!J26="NO"),"FAIL","PASS"))</f>
        <v/>
      </c>
      <c r="D26" s="16" t="str">
        <f>IF(A26="","",IF(Clean_Data!E26="","FAIL","PASS"))</f>
        <v/>
      </c>
      <c r="E26" s="16" t="str">
        <f>IF(A26="","",IF(Clean_Data!G26="","FAIL","PASS"))</f>
        <v/>
      </c>
      <c r="F26" s="16" t="str">
        <f>IF(A26="","",IF(Clean_Data!G26="","OK",IF(Clean_Data!G26&gt;16,"FLAG","OK")))</f>
        <v/>
      </c>
      <c r="G26" s="16" t="str">
        <f>IF(A26="","",IF(Clean_Data!H26="","FAIL","PASS"))</f>
        <v/>
      </c>
      <c r="H26" s="16" t="str">
        <f>IF(A26="","",IF(OR(Clean_Data!D26="",Clean_Data!K26="NO"),"FAIL","PASS"))</f>
        <v/>
      </c>
      <c r="I26" s="16" t="str">
        <f t="shared" si="0"/>
        <v/>
      </c>
      <c r="J26" s="17" t="str">
        <f t="shared" si="1"/>
        <v/>
      </c>
      <c r="K26" s="16" t="str">
        <f t="shared" si="2"/>
        <v/>
      </c>
    </row>
    <row r="27" spans="1:11" x14ac:dyDescent="0.35">
      <c r="A27" s="8" t="str">
        <f>Clean_Data!A27</f>
        <v/>
      </c>
      <c r="B27" s="16" t="str">
        <f>IF(A27="","",IF(Clean_Data!C27="","FAIL","PASS"))</f>
        <v/>
      </c>
      <c r="C27" s="16" t="str">
        <f>IF(A27="","",IF(AND(Clean_Data!C27&lt;&gt;"",Clean_Data!J27="NO"),"FAIL","PASS"))</f>
        <v/>
      </c>
      <c r="D27" s="16" t="str">
        <f>IF(A27="","",IF(Clean_Data!E27="","FAIL","PASS"))</f>
        <v/>
      </c>
      <c r="E27" s="16" t="str">
        <f>IF(A27="","",IF(Clean_Data!G27="","FAIL","PASS"))</f>
        <v/>
      </c>
      <c r="F27" s="16" t="str">
        <f>IF(A27="","",IF(Clean_Data!G27="","OK",IF(Clean_Data!G27&gt;16,"FLAG","OK")))</f>
        <v/>
      </c>
      <c r="G27" s="16" t="str">
        <f>IF(A27="","",IF(Clean_Data!H27="","FAIL","PASS"))</f>
        <v/>
      </c>
      <c r="H27" s="16" t="str">
        <f>IF(A27="","",IF(OR(Clean_Data!D27="",Clean_Data!K27="NO"),"FAIL","PASS"))</f>
        <v/>
      </c>
      <c r="I27" s="16" t="str">
        <f t="shared" si="0"/>
        <v/>
      </c>
      <c r="J27" s="17" t="str">
        <f t="shared" si="1"/>
        <v/>
      </c>
      <c r="K27" s="16" t="str">
        <f t="shared" si="2"/>
        <v/>
      </c>
    </row>
    <row r="28" spans="1:11" x14ac:dyDescent="0.35">
      <c r="A28" s="8" t="str">
        <f>Clean_Data!A28</f>
        <v/>
      </c>
      <c r="B28" s="16" t="str">
        <f>IF(A28="","",IF(Clean_Data!C28="","FAIL","PASS"))</f>
        <v/>
      </c>
      <c r="C28" s="16" t="str">
        <f>IF(A28="","",IF(AND(Clean_Data!C28&lt;&gt;"",Clean_Data!J28="NO"),"FAIL","PASS"))</f>
        <v/>
      </c>
      <c r="D28" s="16" t="str">
        <f>IF(A28="","",IF(Clean_Data!E28="","FAIL","PASS"))</f>
        <v/>
      </c>
      <c r="E28" s="16" t="str">
        <f>IF(A28="","",IF(Clean_Data!G28="","FAIL","PASS"))</f>
        <v/>
      </c>
      <c r="F28" s="16" t="str">
        <f>IF(A28="","",IF(Clean_Data!G28="","OK",IF(Clean_Data!G28&gt;16,"FLAG","OK")))</f>
        <v/>
      </c>
      <c r="G28" s="16" t="str">
        <f>IF(A28="","",IF(Clean_Data!H28="","FAIL","PASS"))</f>
        <v/>
      </c>
      <c r="H28" s="16" t="str">
        <f>IF(A28="","",IF(OR(Clean_Data!D28="",Clean_Data!K28="NO"),"FAIL","PASS"))</f>
        <v/>
      </c>
      <c r="I28" s="16" t="str">
        <f t="shared" si="0"/>
        <v/>
      </c>
      <c r="J28" s="17" t="str">
        <f t="shared" si="1"/>
        <v/>
      </c>
      <c r="K28" s="16" t="str">
        <f t="shared" si="2"/>
        <v/>
      </c>
    </row>
    <row r="29" spans="1:11" x14ac:dyDescent="0.35">
      <c r="A29" s="8" t="str">
        <f>Clean_Data!A29</f>
        <v/>
      </c>
      <c r="B29" s="16" t="str">
        <f>IF(A29="","",IF(Clean_Data!C29="","FAIL","PASS"))</f>
        <v/>
      </c>
      <c r="C29" s="16" t="str">
        <f>IF(A29="","",IF(AND(Clean_Data!C29&lt;&gt;"",Clean_Data!J29="NO"),"FAIL","PASS"))</f>
        <v/>
      </c>
      <c r="D29" s="16" t="str">
        <f>IF(A29="","",IF(Clean_Data!E29="","FAIL","PASS"))</f>
        <v/>
      </c>
      <c r="E29" s="16" t="str">
        <f>IF(A29="","",IF(Clean_Data!G29="","FAIL","PASS"))</f>
        <v/>
      </c>
      <c r="F29" s="16" t="str">
        <f>IF(A29="","",IF(Clean_Data!G29="","OK",IF(Clean_Data!G29&gt;16,"FLAG","OK")))</f>
        <v/>
      </c>
      <c r="G29" s="16" t="str">
        <f>IF(A29="","",IF(Clean_Data!H29="","FAIL","PASS"))</f>
        <v/>
      </c>
      <c r="H29" s="16" t="str">
        <f>IF(A29="","",IF(OR(Clean_Data!D29="",Clean_Data!K29="NO"),"FAIL","PASS"))</f>
        <v/>
      </c>
      <c r="I29" s="16" t="str">
        <f t="shared" si="0"/>
        <v/>
      </c>
      <c r="J29" s="17" t="str">
        <f t="shared" si="1"/>
        <v/>
      </c>
      <c r="K29" s="16" t="str">
        <f t="shared" si="2"/>
        <v/>
      </c>
    </row>
    <row r="30" spans="1:11" x14ac:dyDescent="0.35">
      <c r="A30" s="8" t="str">
        <f>Clean_Data!A30</f>
        <v/>
      </c>
      <c r="B30" s="16" t="str">
        <f>IF(A30="","",IF(Clean_Data!C30="","FAIL","PASS"))</f>
        <v/>
      </c>
      <c r="C30" s="16" t="str">
        <f>IF(A30="","",IF(AND(Clean_Data!C30&lt;&gt;"",Clean_Data!J30="NO"),"FAIL","PASS"))</f>
        <v/>
      </c>
      <c r="D30" s="16" t="str">
        <f>IF(A30="","",IF(Clean_Data!E30="","FAIL","PASS"))</f>
        <v/>
      </c>
      <c r="E30" s="16" t="str">
        <f>IF(A30="","",IF(Clean_Data!G30="","FAIL","PASS"))</f>
        <v/>
      </c>
      <c r="F30" s="16" t="str">
        <f>IF(A30="","",IF(Clean_Data!G30="","OK",IF(Clean_Data!G30&gt;16,"FLAG","OK")))</f>
        <v/>
      </c>
      <c r="G30" s="16" t="str">
        <f>IF(A30="","",IF(Clean_Data!H30="","FAIL","PASS"))</f>
        <v/>
      </c>
      <c r="H30" s="16" t="str">
        <f>IF(A30="","",IF(OR(Clean_Data!D30="",Clean_Data!K30="NO"),"FAIL","PASS"))</f>
        <v/>
      </c>
      <c r="I30" s="16" t="str">
        <f t="shared" si="0"/>
        <v/>
      </c>
      <c r="J30" s="17" t="str">
        <f t="shared" si="1"/>
        <v/>
      </c>
      <c r="K30" s="16" t="str">
        <f t="shared" si="2"/>
        <v/>
      </c>
    </row>
    <row r="31" spans="1:11" x14ac:dyDescent="0.35">
      <c r="A31" s="8" t="str">
        <f>Clean_Data!A31</f>
        <v/>
      </c>
      <c r="B31" s="16" t="str">
        <f>IF(A31="","",IF(Clean_Data!C31="","FAIL","PASS"))</f>
        <v/>
      </c>
      <c r="C31" s="16" t="str">
        <f>IF(A31="","",IF(AND(Clean_Data!C31&lt;&gt;"",Clean_Data!J31="NO"),"FAIL","PASS"))</f>
        <v/>
      </c>
      <c r="D31" s="16" t="str">
        <f>IF(A31="","",IF(Clean_Data!E31="","FAIL","PASS"))</f>
        <v/>
      </c>
      <c r="E31" s="16" t="str">
        <f>IF(A31="","",IF(Clean_Data!G31="","FAIL","PASS"))</f>
        <v/>
      </c>
      <c r="F31" s="16" t="str">
        <f>IF(A31="","",IF(Clean_Data!G31="","OK",IF(Clean_Data!G31&gt;16,"FLAG","OK")))</f>
        <v/>
      </c>
      <c r="G31" s="16" t="str">
        <f>IF(A31="","",IF(Clean_Data!H31="","FAIL","PASS"))</f>
        <v/>
      </c>
      <c r="H31" s="16" t="str">
        <f>IF(A31="","",IF(OR(Clean_Data!D31="",Clean_Data!K31="NO"),"FAIL","PASS"))</f>
        <v/>
      </c>
      <c r="I31" s="16" t="str">
        <f t="shared" si="0"/>
        <v/>
      </c>
      <c r="J31" s="17" t="str">
        <f t="shared" si="1"/>
        <v/>
      </c>
      <c r="K31" s="16" t="str">
        <f t="shared" si="2"/>
        <v/>
      </c>
    </row>
    <row r="32" spans="1:11" x14ac:dyDescent="0.35">
      <c r="A32" s="8" t="str">
        <f>Clean_Data!A32</f>
        <v/>
      </c>
      <c r="B32" s="16" t="str">
        <f>IF(A32="","",IF(Clean_Data!C32="","FAIL","PASS"))</f>
        <v/>
      </c>
      <c r="C32" s="16" t="str">
        <f>IF(A32="","",IF(AND(Clean_Data!C32&lt;&gt;"",Clean_Data!J32="NO"),"FAIL","PASS"))</f>
        <v/>
      </c>
      <c r="D32" s="16" t="str">
        <f>IF(A32="","",IF(Clean_Data!E32="","FAIL","PASS"))</f>
        <v/>
      </c>
      <c r="E32" s="16" t="str">
        <f>IF(A32="","",IF(Clean_Data!G32="","FAIL","PASS"))</f>
        <v/>
      </c>
      <c r="F32" s="16" t="str">
        <f>IF(A32="","",IF(Clean_Data!G32="","OK",IF(Clean_Data!G32&gt;16,"FLAG","OK")))</f>
        <v/>
      </c>
      <c r="G32" s="16" t="str">
        <f>IF(A32="","",IF(Clean_Data!H32="","FAIL","PASS"))</f>
        <v/>
      </c>
      <c r="H32" s="16" t="str">
        <f>IF(A32="","",IF(OR(Clean_Data!D32="",Clean_Data!K32="NO"),"FAIL","PASS"))</f>
        <v/>
      </c>
      <c r="I32" s="16" t="str">
        <f t="shared" si="0"/>
        <v/>
      </c>
      <c r="J32" s="17" t="str">
        <f t="shared" si="1"/>
        <v/>
      </c>
      <c r="K32" s="16" t="str">
        <f t="shared" si="2"/>
        <v/>
      </c>
    </row>
    <row r="33" spans="1:11" x14ac:dyDescent="0.35">
      <c r="A33" s="8" t="str">
        <f>Clean_Data!A33</f>
        <v/>
      </c>
      <c r="B33" s="16" t="str">
        <f>IF(A33="","",IF(Clean_Data!C33="","FAIL","PASS"))</f>
        <v/>
      </c>
      <c r="C33" s="16" t="str">
        <f>IF(A33="","",IF(AND(Clean_Data!C33&lt;&gt;"",Clean_Data!J33="NO"),"FAIL","PASS"))</f>
        <v/>
      </c>
      <c r="D33" s="16" t="str">
        <f>IF(A33="","",IF(Clean_Data!E33="","FAIL","PASS"))</f>
        <v/>
      </c>
      <c r="E33" s="16" t="str">
        <f>IF(A33="","",IF(Clean_Data!G33="","FAIL","PASS"))</f>
        <v/>
      </c>
      <c r="F33" s="16" t="str">
        <f>IF(A33="","",IF(Clean_Data!G33="","OK",IF(Clean_Data!G33&gt;16,"FLAG","OK")))</f>
        <v/>
      </c>
      <c r="G33" s="16" t="str">
        <f>IF(A33="","",IF(Clean_Data!H33="","FAIL","PASS"))</f>
        <v/>
      </c>
      <c r="H33" s="16" t="str">
        <f>IF(A33="","",IF(OR(Clean_Data!D33="",Clean_Data!K33="NO"),"FAIL","PASS"))</f>
        <v/>
      </c>
      <c r="I33" s="16" t="str">
        <f t="shared" si="0"/>
        <v/>
      </c>
      <c r="J33" s="17" t="str">
        <f t="shared" si="1"/>
        <v/>
      </c>
      <c r="K33" s="16" t="str">
        <f t="shared" si="2"/>
        <v/>
      </c>
    </row>
    <row r="34" spans="1:11" x14ac:dyDescent="0.35">
      <c r="A34" s="8" t="str">
        <f>Clean_Data!A34</f>
        <v/>
      </c>
      <c r="B34" s="16" t="str">
        <f>IF(A34="","",IF(Clean_Data!C34="","FAIL","PASS"))</f>
        <v/>
      </c>
      <c r="C34" s="16" t="str">
        <f>IF(A34="","",IF(AND(Clean_Data!C34&lt;&gt;"",Clean_Data!J34="NO"),"FAIL","PASS"))</f>
        <v/>
      </c>
      <c r="D34" s="16" t="str">
        <f>IF(A34="","",IF(Clean_Data!E34="","FAIL","PASS"))</f>
        <v/>
      </c>
      <c r="E34" s="16" t="str">
        <f>IF(A34="","",IF(Clean_Data!G34="","FAIL","PASS"))</f>
        <v/>
      </c>
      <c r="F34" s="16" t="str">
        <f>IF(A34="","",IF(Clean_Data!G34="","OK",IF(Clean_Data!G34&gt;16,"FLAG","OK")))</f>
        <v/>
      </c>
      <c r="G34" s="16" t="str">
        <f>IF(A34="","",IF(Clean_Data!H34="","FAIL","PASS"))</f>
        <v/>
      </c>
      <c r="H34" s="16" t="str">
        <f>IF(A34="","",IF(OR(Clean_Data!D34="",Clean_Data!K34="NO"),"FAIL","PASS"))</f>
        <v/>
      </c>
      <c r="I34" s="16" t="str">
        <f t="shared" si="0"/>
        <v/>
      </c>
      <c r="J34" s="17" t="str">
        <f t="shared" si="1"/>
        <v/>
      </c>
      <c r="K34" s="16" t="str">
        <f t="shared" si="2"/>
        <v/>
      </c>
    </row>
    <row r="35" spans="1:11" x14ac:dyDescent="0.35">
      <c r="A35" s="8" t="str">
        <f>Clean_Data!A35</f>
        <v/>
      </c>
      <c r="B35" s="16" t="str">
        <f>IF(A35="","",IF(Clean_Data!C35="","FAIL","PASS"))</f>
        <v/>
      </c>
      <c r="C35" s="16" t="str">
        <f>IF(A35="","",IF(AND(Clean_Data!C35&lt;&gt;"",Clean_Data!J35="NO"),"FAIL","PASS"))</f>
        <v/>
      </c>
      <c r="D35" s="16" t="str">
        <f>IF(A35="","",IF(Clean_Data!E35="","FAIL","PASS"))</f>
        <v/>
      </c>
      <c r="E35" s="16" t="str">
        <f>IF(A35="","",IF(Clean_Data!G35="","FAIL","PASS"))</f>
        <v/>
      </c>
      <c r="F35" s="16" t="str">
        <f>IF(A35="","",IF(Clean_Data!G35="","OK",IF(Clean_Data!G35&gt;16,"FLAG","OK")))</f>
        <v/>
      </c>
      <c r="G35" s="16" t="str">
        <f>IF(A35="","",IF(Clean_Data!H35="","FAIL","PASS"))</f>
        <v/>
      </c>
      <c r="H35" s="16" t="str">
        <f>IF(A35="","",IF(OR(Clean_Data!D35="",Clean_Data!K35="NO"),"FAIL","PASS"))</f>
        <v/>
      </c>
      <c r="I35" s="16" t="str">
        <f t="shared" si="0"/>
        <v/>
      </c>
      <c r="J35" s="17" t="str">
        <f t="shared" si="1"/>
        <v/>
      </c>
      <c r="K35" s="16" t="str">
        <f t="shared" si="2"/>
        <v/>
      </c>
    </row>
    <row r="36" spans="1:11" x14ac:dyDescent="0.35">
      <c r="A36" s="8" t="str">
        <f>Clean_Data!A36</f>
        <v/>
      </c>
      <c r="B36" s="16" t="str">
        <f>IF(A36="","",IF(Clean_Data!C36="","FAIL","PASS"))</f>
        <v/>
      </c>
      <c r="C36" s="16" t="str">
        <f>IF(A36="","",IF(AND(Clean_Data!C36&lt;&gt;"",Clean_Data!J36="NO"),"FAIL","PASS"))</f>
        <v/>
      </c>
      <c r="D36" s="16" t="str">
        <f>IF(A36="","",IF(Clean_Data!E36="","FAIL","PASS"))</f>
        <v/>
      </c>
      <c r="E36" s="16" t="str">
        <f>IF(A36="","",IF(Clean_Data!G36="","FAIL","PASS"))</f>
        <v/>
      </c>
      <c r="F36" s="16" t="str">
        <f>IF(A36="","",IF(Clean_Data!G36="","OK",IF(Clean_Data!G36&gt;16,"FLAG","OK")))</f>
        <v/>
      </c>
      <c r="G36" s="16" t="str">
        <f>IF(A36="","",IF(Clean_Data!H36="","FAIL","PASS"))</f>
        <v/>
      </c>
      <c r="H36" s="16" t="str">
        <f>IF(A36="","",IF(OR(Clean_Data!D36="",Clean_Data!K36="NO"),"FAIL","PASS"))</f>
        <v/>
      </c>
      <c r="I36" s="16" t="str">
        <f t="shared" si="0"/>
        <v/>
      </c>
      <c r="J36" s="17" t="str">
        <f t="shared" si="1"/>
        <v/>
      </c>
      <c r="K36" s="16" t="str">
        <f t="shared" si="2"/>
        <v/>
      </c>
    </row>
    <row r="37" spans="1:11" x14ac:dyDescent="0.35">
      <c r="A37" s="8" t="str">
        <f>Clean_Data!A37</f>
        <v/>
      </c>
      <c r="B37" s="16" t="str">
        <f>IF(A37="","",IF(Clean_Data!C37="","FAIL","PASS"))</f>
        <v/>
      </c>
      <c r="C37" s="16" t="str">
        <f>IF(A37="","",IF(AND(Clean_Data!C37&lt;&gt;"",Clean_Data!J37="NO"),"FAIL","PASS"))</f>
        <v/>
      </c>
      <c r="D37" s="16" t="str">
        <f>IF(A37="","",IF(Clean_Data!E37="","FAIL","PASS"))</f>
        <v/>
      </c>
      <c r="E37" s="16" t="str">
        <f>IF(A37="","",IF(Clean_Data!G37="","FAIL","PASS"))</f>
        <v/>
      </c>
      <c r="F37" s="16" t="str">
        <f>IF(A37="","",IF(Clean_Data!G37="","OK",IF(Clean_Data!G37&gt;16,"FLAG","OK")))</f>
        <v/>
      </c>
      <c r="G37" s="16" t="str">
        <f>IF(A37="","",IF(Clean_Data!H37="","FAIL","PASS"))</f>
        <v/>
      </c>
      <c r="H37" s="16" t="str">
        <f>IF(A37="","",IF(OR(Clean_Data!D37="",Clean_Data!K37="NO"),"FAIL","PASS"))</f>
        <v/>
      </c>
      <c r="I37" s="16" t="str">
        <f t="shared" si="0"/>
        <v/>
      </c>
      <c r="J37" s="17" t="str">
        <f t="shared" si="1"/>
        <v/>
      </c>
      <c r="K37" s="16" t="str">
        <f t="shared" si="2"/>
        <v/>
      </c>
    </row>
    <row r="38" spans="1:11" x14ac:dyDescent="0.35">
      <c r="A38" s="8" t="str">
        <f>Clean_Data!A38</f>
        <v/>
      </c>
      <c r="B38" s="16" t="str">
        <f>IF(A38="","",IF(Clean_Data!C38="","FAIL","PASS"))</f>
        <v/>
      </c>
      <c r="C38" s="16" t="str">
        <f>IF(A38="","",IF(AND(Clean_Data!C38&lt;&gt;"",Clean_Data!J38="NO"),"FAIL","PASS"))</f>
        <v/>
      </c>
      <c r="D38" s="16" t="str">
        <f>IF(A38="","",IF(Clean_Data!E38="","FAIL","PASS"))</f>
        <v/>
      </c>
      <c r="E38" s="16" t="str">
        <f>IF(A38="","",IF(Clean_Data!G38="","FAIL","PASS"))</f>
        <v/>
      </c>
      <c r="F38" s="16" t="str">
        <f>IF(A38="","",IF(Clean_Data!G38="","OK",IF(Clean_Data!G38&gt;16,"FLAG","OK")))</f>
        <v/>
      </c>
      <c r="G38" s="16" t="str">
        <f>IF(A38="","",IF(Clean_Data!H38="","FAIL","PASS"))</f>
        <v/>
      </c>
      <c r="H38" s="16" t="str">
        <f>IF(A38="","",IF(OR(Clean_Data!D38="",Clean_Data!K38="NO"),"FAIL","PASS"))</f>
        <v/>
      </c>
      <c r="I38" s="16" t="str">
        <f t="shared" si="0"/>
        <v/>
      </c>
      <c r="J38" s="17" t="str">
        <f t="shared" si="1"/>
        <v/>
      </c>
      <c r="K38" s="16" t="str">
        <f t="shared" si="2"/>
        <v/>
      </c>
    </row>
    <row r="39" spans="1:11" x14ac:dyDescent="0.35">
      <c r="A39" s="8" t="str">
        <f>Clean_Data!A39</f>
        <v/>
      </c>
      <c r="B39" s="16" t="str">
        <f>IF(A39="","",IF(Clean_Data!C39="","FAIL","PASS"))</f>
        <v/>
      </c>
      <c r="C39" s="16" t="str">
        <f>IF(A39="","",IF(AND(Clean_Data!C39&lt;&gt;"",Clean_Data!J39="NO"),"FAIL","PASS"))</f>
        <v/>
      </c>
      <c r="D39" s="16" t="str">
        <f>IF(A39="","",IF(Clean_Data!E39="","FAIL","PASS"))</f>
        <v/>
      </c>
      <c r="E39" s="16" t="str">
        <f>IF(A39="","",IF(Clean_Data!G39="","FAIL","PASS"))</f>
        <v/>
      </c>
      <c r="F39" s="16" t="str">
        <f>IF(A39="","",IF(Clean_Data!G39="","OK",IF(Clean_Data!G39&gt;16,"FLAG","OK")))</f>
        <v/>
      </c>
      <c r="G39" s="16" t="str">
        <f>IF(A39="","",IF(Clean_Data!H39="","FAIL","PASS"))</f>
        <v/>
      </c>
      <c r="H39" s="16" t="str">
        <f>IF(A39="","",IF(OR(Clean_Data!D39="",Clean_Data!K39="NO"),"FAIL","PASS"))</f>
        <v/>
      </c>
      <c r="I39" s="16" t="str">
        <f t="shared" si="0"/>
        <v/>
      </c>
      <c r="J39" s="17" t="str">
        <f t="shared" si="1"/>
        <v/>
      </c>
      <c r="K39" s="16" t="str">
        <f t="shared" si="2"/>
        <v/>
      </c>
    </row>
    <row r="40" spans="1:11" x14ac:dyDescent="0.35">
      <c r="A40" s="8" t="str">
        <f>Clean_Data!A40</f>
        <v/>
      </c>
      <c r="B40" s="16" t="str">
        <f>IF(A40="","",IF(Clean_Data!C40="","FAIL","PASS"))</f>
        <v/>
      </c>
      <c r="C40" s="16" t="str">
        <f>IF(A40="","",IF(AND(Clean_Data!C40&lt;&gt;"",Clean_Data!J40="NO"),"FAIL","PASS"))</f>
        <v/>
      </c>
      <c r="D40" s="16" t="str">
        <f>IF(A40="","",IF(Clean_Data!E40="","FAIL","PASS"))</f>
        <v/>
      </c>
      <c r="E40" s="16" t="str">
        <f>IF(A40="","",IF(Clean_Data!G40="","FAIL","PASS"))</f>
        <v/>
      </c>
      <c r="F40" s="16" t="str">
        <f>IF(A40="","",IF(Clean_Data!G40="","OK",IF(Clean_Data!G40&gt;16,"FLAG","OK")))</f>
        <v/>
      </c>
      <c r="G40" s="16" t="str">
        <f>IF(A40="","",IF(Clean_Data!H40="","FAIL","PASS"))</f>
        <v/>
      </c>
      <c r="H40" s="16" t="str">
        <f>IF(A40="","",IF(OR(Clean_Data!D40="",Clean_Data!K40="NO"),"FAIL","PASS"))</f>
        <v/>
      </c>
      <c r="I40" s="16" t="str">
        <f t="shared" si="0"/>
        <v/>
      </c>
      <c r="J40" s="17" t="str">
        <f t="shared" si="1"/>
        <v/>
      </c>
      <c r="K40" s="16" t="str">
        <f t="shared" si="2"/>
        <v/>
      </c>
    </row>
    <row r="41" spans="1:11" x14ac:dyDescent="0.35">
      <c r="A41" s="8" t="str">
        <f>Clean_Data!A41</f>
        <v/>
      </c>
      <c r="B41" s="16" t="str">
        <f>IF(A41="","",IF(Clean_Data!C41="","FAIL","PASS"))</f>
        <v/>
      </c>
      <c r="C41" s="16" t="str">
        <f>IF(A41="","",IF(AND(Clean_Data!C41&lt;&gt;"",Clean_Data!J41="NO"),"FAIL","PASS"))</f>
        <v/>
      </c>
      <c r="D41" s="16" t="str">
        <f>IF(A41="","",IF(Clean_Data!E41="","FAIL","PASS"))</f>
        <v/>
      </c>
      <c r="E41" s="16" t="str">
        <f>IF(A41="","",IF(Clean_Data!G41="","FAIL","PASS"))</f>
        <v/>
      </c>
      <c r="F41" s="16" t="str">
        <f>IF(A41="","",IF(Clean_Data!G41="","OK",IF(Clean_Data!G41&gt;16,"FLAG","OK")))</f>
        <v/>
      </c>
      <c r="G41" s="16" t="str">
        <f>IF(A41="","",IF(Clean_Data!H41="","FAIL","PASS"))</f>
        <v/>
      </c>
      <c r="H41" s="16" t="str">
        <f>IF(A41="","",IF(OR(Clean_Data!D41="",Clean_Data!K41="NO"),"FAIL","PASS"))</f>
        <v/>
      </c>
      <c r="I41" s="16" t="str">
        <f t="shared" si="0"/>
        <v/>
      </c>
      <c r="J41" s="17" t="str">
        <f t="shared" si="1"/>
        <v/>
      </c>
      <c r="K41" s="16" t="str">
        <f t="shared" si="2"/>
        <v/>
      </c>
    </row>
    <row r="42" spans="1:11" x14ac:dyDescent="0.35">
      <c r="A42" s="8" t="str">
        <f>Clean_Data!A42</f>
        <v/>
      </c>
      <c r="B42" s="16" t="str">
        <f>IF(A42="","",IF(Clean_Data!C42="","FAIL","PASS"))</f>
        <v/>
      </c>
      <c r="C42" s="16" t="str">
        <f>IF(A42="","",IF(AND(Clean_Data!C42&lt;&gt;"",Clean_Data!J42="NO"),"FAIL","PASS"))</f>
        <v/>
      </c>
      <c r="D42" s="16" t="str">
        <f>IF(A42="","",IF(Clean_Data!E42="","FAIL","PASS"))</f>
        <v/>
      </c>
      <c r="E42" s="16" t="str">
        <f>IF(A42="","",IF(Clean_Data!G42="","FAIL","PASS"))</f>
        <v/>
      </c>
      <c r="F42" s="16" t="str">
        <f>IF(A42="","",IF(Clean_Data!G42="","OK",IF(Clean_Data!G42&gt;16,"FLAG","OK")))</f>
        <v/>
      </c>
      <c r="G42" s="16" t="str">
        <f>IF(A42="","",IF(Clean_Data!H42="","FAIL","PASS"))</f>
        <v/>
      </c>
      <c r="H42" s="16" t="str">
        <f>IF(A42="","",IF(OR(Clean_Data!D42="",Clean_Data!K42="NO"),"FAIL","PASS"))</f>
        <v/>
      </c>
      <c r="I42" s="16" t="str">
        <f t="shared" si="0"/>
        <v/>
      </c>
      <c r="J42" s="17" t="str">
        <f t="shared" si="1"/>
        <v/>
      </c>
      <c r="K42" s="16" t="str">
        <f t="shared" si="2"/>
        <v/>
      </c>
    </row>
    <row r="43" spans="1:11" x14ac:dyDescent="0.35">
      <c r="A43" s="8" t="str">
        <f>Clean_Data!A43</f>
        <v/>
      </c>
      <c r="B43" s="16" t="str">
        <f>IF(A43="","",IF(Clean_Data!C43="","FAIL","PASS"))</f>
        <v/>
      </c>
      <c r="C43" s="16" t="str">
        <f>IF(A43="","",IF(AND(Clean_Data!C43&lt;&gt;"",Clean_Data!J43="NO"),"FAIL","PASS"))</f>
        <v/>
      </c>
      <c r="D43" s="16" t="str">
        <f>IF(A43="","",IF(Clean_Data!E43="","FAIL","PASS"))</f>
        <v/>
      </c>
      <c r="E43" s="16" t="str">
        <f>IF(A43="","",IF(Clean_Data!G43="","FAIL","PASS"))</f>
        <v/>
      </c>
      <c r="F43" s="16" t="str">
        <f>IF(A43="","",IF(Clean_Data!G43="","OK",IF(Clean_Data!G43&gt;16,"FLAG","OK")))</f>
        <v/>
      </c>
      <c r="G43" s="16" t="str">
        <f>IF(A43="","",IF(Clean_Data!H43="","FAIL","PASS"))</f>
        <v/>
      </c>
      <c r="H43" s="16" t="str">
        <f>IF(A43="","",IF(OR(Clean_Data!D43="",Clean_Data!K43="NO"),"FAIL","PASS"))</f>
        <v/>
      </c>
      <c r="I43" s="16" t="str">
        <f t="shared" si="0"/>
        <v/>
      </c>
      <c r="J43" s="17" t="str">
        <f t="shared" si="1"/>
        <v/>
      </c>
      <c r="K43" s="16" t="str">
        <f t="shared" si="2"/>
        <v/>
      </c>
    </row>
    <row r="44" spans="1:11" x14ac:dyDescent="0.35">
      <c r="A44" s="8" t="str">
        <f>Clean_Data!A44</f>
        <v/>
      </c>
      <c r="B44" s="16" t="str">
        <f>IF(A44="","",IF(Clean_Data!C44="","FAIL","PASS"))</f>
        <v/>
      </c>
      <c r="C44" s="16" t="str">
        <f>IF(A44="","",IF(AND(Clean_Data!C44&lt;&gt;"",Clean_Data!J44="NO"),"FAIL","PASS"))</f>
        <v/>
      </c>
      <c r="D44" s="16" t="str">
        <f>IF(A44="","",IF(Clean_Data!E44="","FAIL","PASS"))</f>
        <v/>
      </c>
      <c r="E44" s="16" t="str">
        <f>IF(A44="","",IF(Clean_Data!G44="","FAIL","PASS"))</f>
        <v/>
      </c>
      <c r="F44" s="16" t="str">
        <f>IF(A44="","",IF(Clean_Data!G44="","OK",IF(Clean_Data!G44&gt;16,"FLAG","OK")))</f>
        <v/>
      </c>
      <c r="G44" s="16" t="str">
        <f>IF(A44="","",IF(Clean_Data!H44="","FAIL","PASS"))</f>
        <v/>
      </c>
      <c r="H44" s="16" t="str">
        <f>IF(A44="","",IF(OR(Clean_Data!D44="",Clean_Data!K44="NO"),"FAIL","PASS"))</f>
        <v/>
      </c>
      <c r="I44" s="16" t="str">
        <f t="shared" si="0"/>
        <v/>
      </c>
      <c r="J44" s="17" t="str">
        <f t="shared" si="1"/>
        <v/>
      </c>
      <c r="K44" s="16" t="str">
        <f t="shared" si="2"/>
        <v/>
      </c>
    </row>
    <row r="45" spans="1:11" x14ac:dyDescent="0.35">
      <c r="A45" s="8" t="str">
        <f>Clean_Data!A45</f>
        <v/>
      </c>
      <c r="B45" s="16" t="str">
        <f>IF(A45="","",IF(Clean_Data!C45="","FAIL","PASS"))</f>
        <v/>
      </c>
      <c r="C45" s="16" t="str">
        <f>IF(A45="","",IF(AND(Clean_Data!C45&lt;&gt;"",Clean_Data!J45="NO"),"FAIL","PASS"))</f>
        <v/>
      </c>
      <c r="D45" s="16" t="str">
        <f>IF(A45="","",IF(Clean_Data!E45="","FAIL","PASS"))</f>
        <v/>
      </c>
      <c r="E45" s="16" t="str">
        <f>IF(A45="","",IF(Clean_Data!G45="","FAIL","PASS"))</f>
        <v/>
      </c>
      <c r="F45" s="16" t="str">
        <f>IF(A45="","",IF(Clean_Data!G45="","OK",IF(Clean_Data!G45&gt;16,"FLAG","OK")))</f>
        <v/>
      </c>
      <c r="G45" s="16" t="str">
        <f>IF(A45="","",IF(Clean_Data!H45="","FAIL","PASS"))</f>
        <v/>
      </c>
      <c r="H45" s="16" t="str">
        <f>IF(A45="","",IF(OR(Clean_Data!D45="",Clean_Data!K45="NO"),"FAIL","PASS"))</f>
        <v/>
      </c>
      <c r="I45" s="16" t="str">
        <f t="shared" si="0"/>
        <v/>
      </c>
      <c r="J45" s="17" t="str">
        <f t="shared" si="1"/>
        <v/>
      </c>
      <c r="K45" s="16" t="str">
        <f t="shared" si="2"/>
        <v/>
      </c>
    </row>
    <row r="46" spans="1:11" x14ac:dyDescent="0.35">
      <c r="A46" s="8" t="str">
        <f>Clean_Data!A46</f>
        <v/>
      </c>
      <c r="B46" s="16" t="str">
        <f>IF(A46="","",IF(Clean_Data!C46="","FAIL","PASS"))</f>
        <v/>
      </c>
      <c r="C46" s="16" t="str">
        <f>IF(A46="","",IF(AND(Clean_Data!C46&lt;&gt;"",Clean_Data!J46="NO"),"FAIL","PASS"))</f>
        <v/>
      </c>
      <c r="D46" s="16" t="str">
        <f>IF(A46="","",IF(Clean_Data!E46="","FAIL","PASS"))</f>
        <v/>
      </c>
      <c r="E46" s="16" t="str">
        <f>IF(A46="","",IF(Clean_Data!G46="","FAIL","PASS"))</f>
        <v/>
      </c>
      <c r="F46" s="16" t="str">
        <f>IF(A46="","",IF(Clean_Data!G46="","OK",IF(Clean_Data!G46&gt;16,"FLAG","OK")))</f>
        <v/>
      </c>
      <c r="G46" s="16" t="str">
        <f>IF(A46="","",IF(Clean_Data!H46="","FAIL","PASS"))</f>
        <v/>
      </c>
      <c r="H46" s="16" t="str">
        <f>IF(A46="","",IF(OR(Clean_Data!D46="",Clean_Data!K46="NO"),"FAIL","PASS"))</f>
        <v/>
      </c>
      <c r="I46" s="16" t="str">
        <f t="shared" si="0"/>
        <v/>
      </c>
      <c r="J46" s="17" t="str">
        <f t="shared" si="1"/>
        <v/>
      </c>
      <c r="K46" s="16" t="str">
        <f t="shared" si="2"/>
        <v/>
      </c>
    </row>
    <row r="47" spans="1:11" x14ac:dyDescent="0.35">
      <c r="A47" s="8" t="str">
        <f>Clean_Data!A47</f>
        <v/>
      </c>
      <c r="B47" s="16" t="str">
        <f>IF(A47="","",IF(Clean_Data!C47="","FAIL","PASS"))</f>
        <v/>
      </c>
      <c r="C47" s="16" t="str">
        <f>IF(A47="","",IF(AND(Clean_Data!C47&lt;&gt;"",Clean_Data!J47="NO"),"FAIL","PASS"))</f>
        <v/>
      </c>
      <c r="D47" s="16" t="str">
        <f>IF(A47="","",IF(Clean_Data!E47="","FAIL","PASS"))</f>
        <v/>
      </c>
      <c r="E47" s="16" t="str">
        <f>IF(A47="","",IF(Clean_Data!G47="","FAIL","PASS"))</f>
        <v/>
      </c>
      <c r="F47" s="16" t="str">
        <f>IF(A47="","",IF(Clean_Data!G47="","OK",IF(Clean_Data!G47&gt;16,"FLAG","OK")))</f>
        <v/>
      </c>
      <c r="G47" s="16" t="str">
        <f>IF(A47="","",IF(Clean_Data!H47="","FAIL","PASS"))</f>
        <v/>
      </c>
      <c r="H47" s="16" t="str">
        <f>IF(A47="","",IF(OR(Clean_Data!D47="",Clean_Data!K47="NO"),"FAIL","PASS"))</f>
        <v/>
      </c>
      <c r="I47" s="16" t="str">
        <f t="shared" si="0"/>
        <v/>
      </c>
      <c r="J47" s="17" t="str">
        <f t="shared" si="1"/>
        <v/>
      </c>
      <c r="K47" s="16" t="str">
        <f t="shared" si="2"/>
        <v/>
      </c>
    </row>
    <row r="48" spans="1:11" x14ac:dyDescent="0.35">
      <c r="A48" s="8" t="str">
        <f>Clean_Data!A48</f>
        <v/>
      </c>
      <c r="B48" s="16" t="str">
        <f>IF(A48="","",IF(Clean_Data!C48="","FAIL","PASS"))</f>
        <v/>
      </c>
      <c r="C48" s="16" t="str">
        <f>IF(A48="","",IF(AND(Clean_Data!C48&lt;&gt;"",Clean_Data!J48="NO"),"FAIL","PASS"))</f>
        <v/>
      </c>
      <c r="D48" s="16" t="str">
        <f>IF(A48="","",IF(Clean_Data!E48="","FAIL","PASS"))</f>
        <v/>
      </c>
      <c r="E48" s="16" t="str">
        <f>IF(A48="","",IF(Clean_Data!G48="","FAIL","PASS"))</f>
        <v/>
      </c>
      <c r="F48" s="16" t="str">
        <f>IF(A48="","",IF(Clean_Data!G48="","OK",IF(Clean_Data!G48&gt;16,"FLAG","OK")))</f>
        <v/>
      </c>
      <c r="G48" s="16" t="str">
        <f>IF(A48="","",IF(Clean_Data!H48="","FAIL","PASS"))</f>
        <v/>
      </c>
      <c r="H48" s="16" t="str">
        <f>IF(A48="","",IF(OR(Clean_Data!D48="",Clean_Data!K48="NO"),"FAIL","PASS"))</f>
        <v/>
      </c>
      <c r="I48" s="16" t="str">
        <f t="shared" si="0"/>
        <v/>
      </c>
      <c r="J48" s="17" t="str">
        <f t="shared" si="1"/>
        <v/>
      </c>
      <c r="K48" s="16" t="str">
        <f t="shared" si="2"/>
        <v/>
      </c>
    </row>
    <row r="49" spans="1:11" x14ac:dyDescent="0.35">
      <c r="A49" s="8" t="str">
        <f>Clean_Data!A49</f>
        <v/>
      </c>
      <c r="B49" s="16" t="str">
        <f>IF(A49="","",IF(Clean_Data!C49="","FAIL","PASS"))</f>
        <v/>
      </c>
      <c r="C49" s="16" t="str">
        <f>IF(A49="","",IF(AND(Clean_Data!C49&lt;&gt;"",Clean_Data!J49="NO"),"FAIL","PASS"))</f>
        <v/>
      </c>
      <c r="D49" s="16" t="str">
        <f>IF(A49="","",IF(Clean_Data!E49="","FAIL","PASS"))</f>
        <v/>
      </c>
      <c r="E49" s="16" t="str">
        <f>IF(A49="","",IF(Clean_Data!G49="","FAIL","PASS"))</f>
        <v/>
      </c>
      <c r="F49" s="16" t="str">
        <f>IF(A49="","",IF(Clean_Data!G49="","OK",IF(Clean_Data!G49&gt;16,"FLAG","OK")))</f>
        <v/>
      </c>
      <c r="G49" s="16" t="str">
        <f>IF(A49="","",IF(Clean_Data!H49="","FAIL","PASS"))</f>
        <v/>
      </c>
      <c r="H49" s="16" t="str">
        <f>IF(A49="","",IF(OR(Clean_Data!D49="",Clean_Data!K49="NO"),"FAIL","PASS"))</f>
        <v/>
      </c>
      <c r="I49" s="16" t="str">
        <f t="shared" si="0"/>
        <v/>
      </c>
      <c r="J49" s="17" t="str">
        <f t="shared" si="1"/>
        <v/>
      </c>
      <c r="K49" s="16" t="str">
        <f t="shared" si="2"/>
        <v/>
      </c>
    </row>
    <row r="50" spans="1:11" x14ac:dyDescent="0.35">
      <c r="A50" s="8" t="str">
        <f>Clean_Data!A50</f>
        <v/>
      </c>
      <c r="B50" s="16" t="str">
        <f>IF(A50="","",IF(Clean_Data!C50="","FAIL","PASS"))</f>
        <v/>
      </c>
      <c r="C50" s="16" t="str">
        <f>IF(A50="","",IF(AND(Clean_Data!C50&lt;&gt;"",Clean_Data!J50="NO"),"FAIL","PASS"))</f>
        <v/>
      </c>
      <c r="D50" s="16" t="str">
        <f>IF(A50="","",IF(Clean_Data!E50="","FAIL","PASS"))</f>
        <v/>
      </c>
      <c r="E50" s="16" t="str">
        <f>IF(A50="","",IF(Clean_Data!G50="","FAIL","PASS"))</f>
        <v/>
      </c>
      <c r="F50" s="16" t="str">
        <f>IF(A50="","",IF(Clean_Data!G50="","OK",IF(Clean_Data!G50&gt;16,"FLAG","OK")))</f>
        <v/>
      </c>
      <c r="G50" s="16" t="str">
        <f>IF(A50="","",IF(Clean_Data!H50="","FAIL","PASS"))</f>
        <v/>
      </c>
      <c r="H50" s="16" t="str">
        <f>IF(A50="","",IF(OR(Clean_Data!D50="",Clean_Data!K50="NO"),"FAIL","PASS"))</f>
        <v/>
      </c>
      <c r="I50" s="16" t="str">
        <f t="shared" si="0"/>
        <v/>
      </c>
      <c r="J50" s="17" t="str">
        <f t="shared" si="1"/>
        <v/>
      </c>
      <c r="K50" s="16" t="str">
        <f t="shared" si="2"/>
        <v/>
      </c>
    </row>
    <row r="51" spans="1:11" x14ac:dyDescent="0.35">
      <c r="A51" s="8" t="str">
        <f>Clean_Data!A51</f>
        <v/>
      </c>
      <c r="B51" s="16" t="str">
        <f>IF(A51="","",IF(Clean_Data!C51="","FAIL","PASS"))</f>
        <v/>
      </c>
      <c r="C51" s="16" t="str">
        <f>IF(A51="","",IF(AND(Clean_Data!C51&lt;&gt;"",Clean_Data!J51="NO"),"FAIL","PASS"))</f>
        <v/>
      </c>
      <c r="D51" s="16" t="str">
        <f>IF(A51="","",IF(Clean_Data!E51="","FAIL","PASS"))</f>
        <v/>
      </c>
      <c r="E51" s="16" t="str">
        <f>IF(A51="","",IF(Clean_Data!G51="","FAIL","PASS"))</f>
        <v/>
      </c>
      <c r="F51" s="16" t="str">
        <f>IF(A51="","",IF(Clean_Data!G51="","OK",IF(Clean_Data!G51&gt;16,"FLAG","OK")))</f>
        <v/>
      </c>
      <c r="G51" s="16" t="str">
        <f>IF(A51="","",IF(Clean_Data!H51="","FAIL","PASS"))</f>
        <v/>
      </c>
      <c r="H51" s="16" t="str">
        <f>IF(A51="","",IF(OR(Clean_Data!D51="",Clean_Data!K51="NO"),"FAIL","PASS"))</f>
        <v/>
      </c>
      <c r="I51" s="16" t="str">
        <f t="shared" si="0"/>
        <v/>
      </c>
      <c r="J51" s="17" t="str">
        <f t="shared" si="1"/>
        <v/>
      </c>
      <c r="K51" s="16" t="str">
        <f t="shared" si="2"/>
        <v/>
      </c>
    </row>
    <row r="52" spans="1:11" x14ac:dyDescent="0.35">
      <c r="A52" s="8" t="str">
        <f>Clean_Data!A52</f>
        <v/>
      </c>
      <c r="B52" s="16" t="str">
        <f>IF(A52="","",IF(Clean_Data!C52="","FAIL","PASS"))</f>
        <v/>
      </c>
      <c r="C52" s="16" t="str">
        <f>IF(A52="","",IF(AND(Clean_Data!C52&lt;&gt;"",Clean_Data!J52="NO"),"FAIL","PASS"))</f>
        <v/>
      </c>
      <c r="D52" s="16" t="str">
        <f>IF(A52="","",IF(Clean_Data!E52="","FAIL","PASS"))</f>
        <v/>
      </c>
      <c r="E52" s="16" t="str">
        <f>IF(A52="","",IF(Clean_Data!G52="","FAIL","PASS"))</f>
        <v/>
      </c>
      <c r="F52" s="16" t="str">
        <f>IF(A52="","",IF(Clean_Data!G52="","OK",IF(Clean_Data!G52&gt;16,"FLAG","OK")))</f>
        <v/>
      </c>
      <c r="G52" s="16" t="str">
        <f>IF(A52="","",IF(Clean_Data!H52="","FAIL","PASS"))</f>
        <v/>
      </c>
      <c r="H52" s="16" t="str">
        <f>IF(A52="","",IF(OR(Clean_Data!D52="",Clean_Data!K52="NO"),"FAIL","PASS"))</f>
        <v/>
      </c>
      <c r="I52" s="16" t="str">
        <f t="shared" si="0"/>
        <v/>
      </c>
      <c r="J52" s="17" t="str">
        <f t="shared" si="1"/>
        <v/>
      </c>
      <c r="K52" s="16" t="str">
        <f t="shared" si="2"/>
        <v/>
      </c>
    </row>
    <row r="53" spans="1:11" x14ac:dyDescent="0.35">
      <c r="A53" s="8" t="str">
        <f>Clean_Data!A53</f>
        <v/>
      </c>
      <c r="B53" s="16" t="str">
        <f>IF(A53="","",IF(Clean_Data!C53="","FAIL","PASS"))</f>
        <v/>
      </c>
      <c r="C53" s="16" t="str">
        <f>IF(A53="","",IF(AND(Clean_Data!C53&lt;&gt;"",Clean_Data!J53="NO"),"FAIL","PASS"))</f>
        <v/>
      </c>
      <c r="D53" s="16" t="str">
        <f>IF(A53="","",IF(Clean_Data!E53="","FAIL","PASS"))</f>
        <v/>
      </c>
      <c r="E53" s="16" t="str">
        <f>IF(A53="","",IF(Clean_Data!G53="","FAIL","PASS"))</f>
        <v/>
      </c>
      <c r="F53" s="16" t="str">
        <f>IF(A53="","",IF(Clean_Data!G53="","OK",IF(Clean_Data!G53&gt;16,"FLAG","OK")))</f>
        <v/>
      </c>
      <c r="G53" s="16" t="str">
        <f>IF(A53="","",IF(Clean_Data!H53="","FAIL","PASS"))</f>
        <v/>
      </c>
      <c r="H53" s="16" t="str">
        <f>IF(A53="","",IF(OR(Clean_Data!D53="",Clean_Data!K53="NO"),"FAIL","PASS"))</f>
        <v/>
      </c>
      <c r="I53" s="16" t="str">
        <f t="shared" si="0"/>
        <v/>
      </c>
      <c r="J53" s="17" t="str">
        <f t="shared" si="1"/>
        <v/>
      </c>
      <c r="K53" s="16" t="str">
        <f t="shared" si="2"/>
        <v/>
      </c>
    </row>
    <row r="54" spans="1:11" x14ac:dyDescent="0.35">
      <c r="A54" s="8" t="str">
        <f>Clean_Data!A54</f>
        <v/>
      </c>
      <c r="B54" s="16" t="str">
        <f>IF(A54="","",IF(Clean_Data!C54="","FAIL","PASS"))</f>
        <v/>
      </c>
      <c r="C54" s="16" t="str">
        <f>IF(A54="","",IF(AND(Clean_Data!C54&lt;&gt;"",Clean_Data!J54="NO"),"FAIL","PASS"))</f>
        <v/>
      </c>
      <c r="D54" s="16" t="str">
        <f>IF(A54="","",IF(Clean_Data!E54="","FAIL","PASS"))</f>
        <v/>
      </c>
      <c r="E54" s="16" t="str">
        <f>IF(A54="","",IF(Clean_Data!G54="","FAIL","PASS"))</f>
        <v/>
      </c>
      <c r="F54" s="16" t="str">
        <f>IF(A54="","",IF(Clean_Data!G54="","OK",IF(Clean_Data!G54&gt;16,"FLAG","OK")))</f>
        <v/>
      </c>
      <c r="G54" s="16" t="str">
        <f>IF(A54="","",IF(Clean_Data!H54="","FAIL","PASS"))</f>
        <v/>
      </c>
      <c r="H54" s="16" t="str">
        <f>IF(A54="","",IF(OR(Clean_Data!D54="",Clean_Data!K54="NO"),"FAIL","PASS"))</f>
        <v/>
      </c>
      <c r="I54" s="16" t="str">
        <f t="shared" si="0"/>
        <v/>
      </c>
      <c r="J54" s="17" t="str">
        <f t="shared" si="1"/>
        <v/>
      </c>
      <c r="K54" s="16" t="str">
        <f t="shared" si="2"/>
        <v/>
      </c>
    </row>
    <row r="55" spans="1:11" x14ac:dyDescent="0.35">
      <c r="A55" s="8" t="str">
        <f>Clean_Data!A55</f>
        <v/>
      </c>
      <c r="B55" s="16" t="str">
        <f>IF(A55="","",IF(Clean_Data!C55="","FAIL","PASS"))</f>
        <v/>
      </c>
      <c r="C55" s="16" t="str">
        <f>IF(A55="","",IF(AND(Clean_Data!C55&lt;&gt;"",Clean_Data!J55="NO"),"FAIL","PASS"))</f>
        <v/>
      </c>
      <c r="D55" s="16" t="str">
        <f>IF(A55="","",IF(Clean_Data!E55="","FAIL","PASS"))</f>
        <v/>
      </c>
      <c r="E55" s="16" t="str">
        <f>IF(A55="","",IF(Clean_Data!G55="","FAIL","PASS"))</f>
        <v/>
      </c>
      <c r="F55" s="16" t="str">
        <f>IF(A55="","",IF(Clean_Data!G55="","OK",IF(Clean_Data!G55&gt;16,"FLAG","OK")))</f>
        <v/>
      </c>
      <c r="G55" s="16" t="str">
        <f>IF(A55="","",IF(Clean_Data!H55="","FAIL","PASS"))</f>
        <v/>
      </c>
      <c r="H55" s="16" t="str">
        <f>IF(A55="","",IF(OR(Clean_Data!D55="",Clean_Data!K55="NO"),"FAIL","PASS"))</f>
        <v/>
      </c>
      <c r="I55" s="16" t="str">
        <f t="shared" si="0"/>
        <v/>
      </c>
      <c r="J55" s="17" t="str">
        <f t="shared" si="1"/>
        <v/>
      </c>
      <c r="K55" s="16" t="str">
        <f t="shared" si="2"/>
        <v/>
      </c>
    </row>
    <row r="56" spans="1:11" x14ac:dyDescent="0.35">
      <c r="A56" s="8" t="str">
        <f>Clean_Data!A56</f>
        <v/>
      </c>
      <c r="B56" s="16" t="str">
        <f>IF(A56="","",IF(Clean_Data!C56="","FAIL","PASS"))</f>
        <v/>
      </c>
      <c r="C56" s="16" t="str">
        <f>IF(A56="","",IF(AND(Clean_Data!C56&lt;&gt;"",Clean_Data!J56="NO"),"FAIL","PASS"))</f>
        <v/>
      </c>
      <c r="D56" s="16" t="str">
        <f>IF(A56="","",IF(Clean_Data!E56="","FAIL","PASS"))</f>
        <v/>
      </c>
      <c r="E56" s="16" t="str">
        <f>IF(A56="","",IF(Clean_Data!G56="","FAIL","PASS"))</f>
        <v/>
      </c>
      <c r="F56" s="16" t="str">
        <f>IF(A56="","",IF(Clean_Data!G56="","OK",IF(Clean_Data!G56&gt;16,"FLAG","OK")))</f>
        <v/>
      </c>
      <c r="G56" s="16" t="str">
        <f>IF(A56="","",IF(Clean_Data!H56="","FAIL","PASS"))</f>
        <v/>
      </c>
      <c r="H56" s="16" t="str">
        <f>IF(A56="","",IF(OR(Clean_Data!D56="",Clean_Data!K56="NO"),"FAIL","PASS"))</f>
        <v/>
      </c>
      <c r="I56" s="16" t="str">
        <f t="shared" si="0"/>
        <v/>
      </c>
      <c r="J56" s="17" t="str">
        <f t="shared" si="1"/>
        <v/>
      </c>
      <c r="K56" s="16" t="str">
        <f t="shared" si="2"/>
        <v/>
      </c>
    </row>
    <row r="57" spans="1:11" x14ac:dyDescent="0.35">
      <c r="A57" s="8" t="str">
        <f>Clean_Data!A57</f>
        <v/>
      </c>
      <c r="B57" s="16" t="str">
        <f>IF(A57="","",IF(Clean_Data!C57="","FAIL","PASS"))</f>
        <v/>
      </c>
      <c r="C57" s="16" t="str">
        <f>IF(A57="","",IF(AND(Clean_Data!C57&lt;&gt;"",Clean_Data!J57="NO"),"FAIL","PASS"))</f>
        <v/>
      </c>
      <c r="D57" s="16" t="str">
        <f>IF(A57="","",IF(Clean_Data!E57="","FAIL","PASS"))</f>
        <v/>
      </c>
      <c r="E57" s="16" t="str">
        <f>IF(A57="","",IF(Clean_Data!G57="","FAIL","PASS"))</f>
        <v/>
      </c>
      <c r="F57" s="16" t="str">
        <f>IF(A57="","",IF(Clean_Data!G57="","OK",IF(Clean_Data!G57&gt;16,"FLAG","OK")))</f>
        <v/>
      </c>
      <c r="G57" s="16" t="str">
        <f>IF(A57="","",IF(Clean_Data!H57="","FAIL","PASS"))</f>
        <v/>
      </c>
      <c r="H57" s="16" t="str">
        <f>IF(A57="","",IF(OR(Clean_Data!D57="",Clean_Data!K57="NO"),"FAIL","PASS"))</f>
        <v/>
      </c>
      <c r="I57" s="16" t="str">
        <f t="shared" si="0"/>
        <v/>
      </c>
      <c r="J57" s="17" t="str">
        <f t="shared" si="1"/>
        <v/>
      </c>
      <c r="K57" s="16" t="str">
        <f t="shared" si="2"/>
        <v/>
      </c>
    </row>
    <row r="58" spans="1:11" x14ac:dyDescent="0.35">
      <c r="A58" s="8" t="str">
        <f>Clean_Data!A58</f>
        <v/>
      </c>
      <c r="B58" s="16" t="str">
        <f>IF(A58="","",IF(Clean_Data!C58="","FAIL","PASS"))</f>
        <v/>
      </c>
      <c r="C58" s="16" t="str">
        <f>IF(A58="","",IF(AND(Clean_Data!C58&lt;&gt;"",Clean_Data!J58="NO"),"FAIL","PASS"))</f>
        <v/>
      </c>
      <c r="D58" s="16" t="str">
        <f>IF(A58="","",IF(Clean_Data!E58="","FAIL","PASS"))</f>
        <v/>
      </c>
      <c r="E58" s="16" t="str">
        <f>IF(A58="","",IF(Clean_Data!G58="","FAIL","PASS"))</f>
        <v/>
      </c>
      <c r="F58" s="16" t="str">
        <f>IF(A58="","",IF(Clean_Data!G58="","OK",IF(Clean_Data!G58&gt;16,"FLAG","OK")))</f>
        <v/>
      </c>
      <c r="G58" s="16" t="str">
        <f>IF(A58="","",IF(Clean_Data!H58="","FAIL","PASS"))</f>
        <v/>
      </c>
      <c r="H58" s="16" t="str">
        <f>IF(A58="","",IF(OR(Clean_Data!D58="",Clean_Data!K58="NO"),"FAIL","PASS"))</f>
        <v/>
      </c>
      <c r="I58" s="16" t="str">
        <f t="shared" si="0"/>
        <v/>
      </c>
      <c r="J58" s="17" t="str">
        <f t="shared" si="1"/>
        <v/>
      </c>
      <c r="K58" s="16" t="str">
        <f t="shared" si="2"/>
        <v/>
      </c>
    </row>
    <row r="59" spans="1:11" x14ac:dyDescent="0.35">
      <c r="A59" s="8" t="str">
        <f>Clean_Data!A59</f>
        <v/>
      </c>
      <c r="B59" s="16" t="str">
        <f>IF(A59="","",IF(Clean_Data!C59="","FAIL","PASS"))</f>
        <v/>
      </c>
      <c r="C59" s="16" t="str">
        <f>IF(A59="","",IF(AND(Clean_Data!C59&lt;&gt;"",Clean_Data!J59="NO"),"FAIL","PASS"))</f>
        <v/>
      </c>
      <c r="D59" s="16" t="str">
        <f>IF(A59="","",IF(Clean_Data!E59="","FAIL","PASS"))</f>
        <v/>
      </c>
      <c r="E59" s="16" t="str">
        <f>IF(A59="","",IF(Clean_Data!G59="","FAIL","PASS"))</f>
        <v/>
      </c>
      <c r="F59" s="16" t="str">
        <f>IF(A59="","",IF(Clean_Data!G59="","OK",IF(Clean_Data!G59&gt;16,"FLAG","OK")))</f>
        <v/>
      </c>
      <c r="G59" s="16" t="str">
        <f>IF(A59="","",IF(Clean_Data!H59="","FAIL","PASS"))</f>
        <v/>
      </c>
      <c r="H59" s="16" t="str">
        <f>IF(A59="","",IF(OR(Clean_Data!D59="",Clean_Data!K59="NO"),"FAIL","PASS"))</f>
        <v/>
      </c>
      <c r="I59" s="16" t="str">
        <f t="shared" si="0"/>
        <v/>
      </c>
      <c r="J59" s="17" t="str">
        <f t="shared" si="1"/>
        <v/>
      </c>
      <c r="K59" s="16" t="str">
        <f t="shared" si="2"/>
        <v/>
      </c>
    </row>
    <row r="60" spans="1:11" x14ac:dyDescent="0.35">
      <c r="A60" s="8" t="str">
        <f>Clean_Data!A60</f>
        <v/>
      </c>
      <c r="B60" s="16" t="str">
        <f>IF(A60="","",IF(Clean_Data!C60="","FAIL","PASS"))</f>
        <v/>
      </c>
      <c r="C60" s="16" t="str">
        <f>IF(A60="","",IF(AND(Clean_Data!C60&lt;&gt;"",Clean_Data!J60="NO"),"FAIL","PASS"))</f>
        <v/>
      </c>
      <c r="D60" s="16" t="str">
        <f>IF(A60="","",IF(Clean_Data!E60="","FAIL","PASS"))</f>
        <v/>
      </c>
      <c r="E60" s="16" t="str">
        <f>IF(A60="","",IF(Clean_Data!G60="","FAIL","PASS"))</f>
        <v/>
      </c>
      <c r="F60" s="16" t="str">
        <f>IF(A60="","",IF(Clean_Data!G60="","OK",IF(Clean_Data!G60&gt;16,"FLAG","OK")))</f>
        <v/>
      </c>
      <c r="G60" s="16" t="str">
        <f>IF(A60="","",IF(Clean_Data!H60="","FAIL","PASS"))</f>
        <v/>
      </c>
      <c r="H60" s="16" t="str">
        <f>IF(A60="","",IF(OR(Clean_Data!D60="",Clean_Data!K60="NO"),"FAIL","PASS"))</f>
        <v/>
      </c>
      <c r="I60" s="16" t="str">
        <f t="shared" si="0"/>
        <v/>
      </c>
      <c r="J60" s="17" t="str">
        <f t="shared" si="1"/>
        <v/>
      </c>
      <c r="K60" s="16" t="str">
        <f t="shared" si="2"/>
        <v/>
      </c>
    </row>
    <row r="61" spans="1:11" x14ac:dyDescent="0.35">
      <c r="A61" s="8" t="str">
        <f>Clean_Data!A61</f>
        <v/>
      </c>
      <c r="B61" s="16" t="str">
        <f>IF(A61="","",IF(Clean_Data!C61="","FAIL","PASS"))</f>
        <v/>
      </c>
      <c r="C61" s="16" t="str">
        <f>IF(A61="","",IF(AND(Clean_Data!C61&lt;&gt;"",Clean_Data!J61="NO"),"FAIL","PASS"))</f>
        <v/>
      </c>
      <c r="D61" s="16" t="str">
        <f>IF(A61="","",IF(Clean_Data!E61="","FAIL","PASS"))</f>
        <v/>
      </c>
      <c r="E61" s="16" t="str">
        <f>IF(A61="","",IF(Clean_Data!G61="","FAIL","PASS"))</f>
        <v/>
      </c>
      <c r="F61" s="16" t="str">
        <f>IF(A61="","",IF(Clean_Data!G61="","OK",IF(Clean_Data!G61&gt;16,"FLAG","OK")))</f>
        <v/>
      </c>
      <c r="G61" s="16" t="str">
        <f>IF(A61="","",IF(Clean_Data!H61="","FAIL","PASS"))</f>
        <v/>
      </c>
      <c r="H61" s="16" t="str">
        <f>IF(A61="","",IF(OR(Clean_Data!D61="",Clean_Data!K61="NO"),"FAIL","PASS"))</f>
        <v/>
      </c>
      <c r="I61" s="16" t="str">
        <f t="shared" si="0"/>
        <v/>
      </c>
      <c r="J61" s="17" t="str">
        <f t="shared" si="1"/>
        <v/>
      </c>
      <c r="K61" s="16" t="str">
        <f t="shared" si="2"/>
        <v/>
      </c>
    </row>
    <row r="62" spans="1:11" x14ac:dyDescent="0.35">
      <c r="A62" s="8" t="str">
        <f>Clean_Data!A62</f>
        <v/>
      </c>
      <c r="B62" s="16" t="str">
        <f>IF(A62="","",IF(Clean_Data!C62="","FAIL","PASS"))</f>
        <v/>
      </c>
      <c r="C62" s="16" t="str">
        <f>IF(A62="","",IF(AND(Clean_Data!C62&lt;&gt;"",Clean_Data!J62="NO"),"FAIL","PASS"))</f>
        <v/>
      </c>
      <c r="D62" s="16" t="str">
        <f>IF(A62="","",IF(Clean_Data!E62="","FAIL","PASS"))</f>
        <v/>
      </c>
      <c r="E62" s="16" t="str">
        <f>IF(A62="","",IF(Clean_Data!G62="","FAIL","PASS"))</f>
        <v/>
      </c>
      <c r="F62" s="16" t="str">
        <f>IF(A62="","",IF(Clean_Data!G62="","OK",IF(Clean_Data!G62&gt;16,"FLAG","OK")))</f>
        <v/>
      </c>
      <c r="G62" s="16" t="str">
        <f>IF(A62="","",IF(Clean_Data!H62="","FAIL","PASS"))</f>
        <v/>
      </c>
      <c r="H62" s="16" t="str">
        <f>IF(A62="","",IF(OR(Clean_Data!D62="",Clean_Data!K62="NO"),"FAIL","PASS"))</f>
        <v/>
      </c>
      <c r="I62" s="16" t="str">
        <f t="shared" si="0"/>
        <v/>
      </c>
      <c r="J62" s="17" t="str">
        <f t="shared" si="1"/>
        <v/>
      </c>
      <c r="K62" s="16" t="str">
        <f t="shared" si="2"/>
        <v/>
      </c>
    </row>
    <row r="63" spans="1:11" x14ac:dyDescent="0.35">
      <c r="A63" s="8" t="str">
        <f>Clean_Data!A63</f>
        <v/>
      </c>
      <c r="B63" s="16" t="str">
        <f>IF(A63="","",IF(Clean_Data!C63="","FAIL","PASS"))</f>
        <v/>
      </c>
      <c r="C63" s="16" t="str">
        <f>IF(A63="","",IF(AND(Clean_Data!C63&lt;&gt;"",Clean_Data!J63="NO"),"FAIL","PASS"))</f>
        <v/>
      </c>
      <c r="D63" s="16" t="str">
        <f>IF(A63="","",IF(Clean_Data!E63="","FAIL","PASS"))</f>
        <v/>
      </c>
      <c r="E63" s="16" t="str">
        <f>IF(A63="","",IF(Clean_Data!G63="","FAIL","PASS"))</f>
        <v/>
      </c>
      <c r="F63" s="16" t="str">
        <f>IF(A63="","",IF(Clean_Data!G63="","OK",IF(Clean_Data!G63&gt;16,"FLAG","OK")))</f>
        <v/>
      </c>
      <c r="G63" s="16" t="str">
        <f>IF(A63="","",IF(Clean_Data!H63="","FAIL","PASS"))</f>
        <v/>
      </c>
      <c r="H63" s="16" t="str">
        <f>IF(A63="","",IF(OR(Clean_Data!D63="",Clean_Data!K63="NO"),"FAIL","PASS"))</f>
        <v/>
      </c>
      <c r="I63" s="16" t="str">
        <f t="shared" si="0"/>
        <v/>
      </c>
      <c r="J63" s="17" t="str">
        <f t="shared" si="1"/>
        <v/>
      </c>
      <c r="K63" s="16" t="str">
        <f t="shared" si="2"/>
        <v/>
      </c>
    </row>
    <row r="64" spans="1:11" x14ac:dyDescent="0.35">
      <c r="A64" s="8" t="str">
        <f>Clean_Data!A64</f>
        <v/>
      </c>
      <c r="B64" s="16" t="str">
        <f>IF(A64="","",IF(Clean_Data!C64="","FAIL","PASS"))</f>
        <v/>
      </c>
      <c r="C64" s="16" t="str">
        <f>IF(A64="","",IF(AND(Clean_Data!C64&lt;&gt;"",Clean_Data!J64="NO"),"FAIL","PASS"))</f>
        <v/>
      </c>
      <c r="D64" s="16" t="str">
        <f>IF(A64="","",IF(Clean_Data!E64="","FAIL","PASS"))</f>
        <v/>
      </c>
      <c r="E64" s="16" t="str">
        <f>IF(A64="","",IF(Clean_Data!G64="","FAIL","PASS"))</f>
        <v/>
      </c>
      <c r="F64" s="16" t="str">
        <f>IF(A64="","",IF(Clean_Data!G64="","OK",IF(Clean_Data!G64&gt;16,"FLAG","OK")))</f>
        <v/>
      </c>
      <c r="G64" s="16" t="str">
        <f>IF(A64="","",IF(Clean_Data!H64="","FAIL","PASS"))</f>
        <v/>
      </c>
      <c r="H64" s="16" t="str">
        <f>IF(A64="","",IF(OR(Clean_Data!D64="",Clean_Data!K64="NO"),"FAIL","PASS"))</f>
        <v/>
      </c>
      <c r="I64" s="16" t="str">
        <f t="shared" si="0"/>
        <v/>
      </c>
      <c r="J64" s="17" t="str">
        <f t="shared" si="1"/>
        <v/>
      </c>
      <c r="K64" s="16" t="str">
        <f t="shared" si="2"/>
        <v/>
      </c>
    </row>
    <row r="65" spans="1:11" x14ac:dyDescent="0.35">
      <c r="A65" s="8" t="str">
        <f>Clean_Data!A65</f>
        <v/>
      </c>
      <c r="B65" s="16" t="str">
        <f>IF(A65="","",IF(Clean_Data!C65="","FAIL","PASS"))</f>
        <v/>
      </c>
      <c r="C65" s="16" t="str">
        <f>IF(A65="","",IF(AND(Clean_Data!C65&lt;&gt;"",Clean_Data!J65="NO"),"FAIL","PASS"))</f>
        <v/>
      </c>
      <c r="D65" s="16" t="str">
        <f>IF(A65="","",IF(Clean_Data!E65="","FAIL","PASS"))</f>
        <v/>
      </c>
      <c r="E65" s="16" t="str">
        <f>IF(A65="","",IF(Clean_Data!G65="","FAIL","PASS"))</f>
        <v/>
      </c>
      <c r="F65" s="16" t="str">
        <f>IF(A65="","",IF(Clean_Data!G65="","OK",IF(Clean_Data!G65&gt;16,"FLAG","OK")))</f>
        <v/>
      </c>
      <c r="G65" s="16" t="str">
        <f>IF(A65="","",IF(Clean_Data!H65="","FAIL","PASS"))</f>
        <v/>
      </c>
      <c r="H65" s="16" t="str">
        <f>IF(A65="","",IF(OR(Clean_Data!D65="",Clean_Data!K65="NO"),"FAIL","PASS"))</f>
        <v/>
      </c>
      <c r="I65" s="16" t="str">
        <f t="shared" si="0"/>
        <v/>
      </c>
      <c r="J65" s="17" t="str">
        <f t="shared" si="1"/>
        <v/>
      </c>
      <c r="K65" s="16" t="str">
        <f t="shared" si="2"/>
        <v/>
      </c>
    </row>
    <row r="66" spans="1:11" x14ac:dyDescent="0.35">
      <c r="A66" s="8" t="str">
        <f>Clean_Data!A66</f>
        <v/>
      </c>
      <c r="B66" s="16" t="str">
        <f>IF(A66="","",IF(Clean_Data!C66="","FAIL","PASS"))</f>
        <v/>
      </c>
      <c r="C66" s="16" t="str">
        <f>IF(A66="","",IF(AND(Clean_Data!C66&lt;&gt;"",Clean_Data!J66="NO"),"FAIL","PASS"))</f>
        <v/>
      </c>
      <c r="D66" s="16" t="str">
        <f>IF(A66="","",IF(Clean_Data!E66="","FAIL","PASS"))</f>
        <v/>
      </c>
      <c r="E66" s="16" t="str">
        <f>IF(A66="","",IF(Clean_Data!G66="","FAIL","PASS"))</f>
        <v/>
      </c>
      <c r="F66" s="16" t="str">
        <f>IF(A66="","",IF(Clean_Data!G66="","OK",IF(Clean_Data!G66&gt;16,"FLAG","OK")))</f>
        <v/>
      </c>
      <c r="G66" s="16" t="str">
        <f>IF(A66="","",IF(Clean_Data!H66="","FAIL","PASS"))</f>
        <v/>
      </c>
      <c r="H66" s="16" t="str">
        <f>IF(A66="","",IF(OR(Clean_Data!D66="",Clean_Data!K66="NO"),"FAIL","PASS"))</f>
        <v/>
      </c>
      <c r="I66" s="16" t="str">
        <f t="shared" si="0"/>
        <v/>
      </c>
      <c r="J66" s="17" t="str">
        <f t="shared" si="1"/>
        <v/>
      </c>
      <c r="K66" s="16" t="str">
        <f t="shared" si="2"/>
        <v/>
      </c>
    </row>
    <row r="67" spans="1:11" x14ac:dyDescent="0.35">
      <c r="A67" s="8" t="str">
        <f>Clean_Data!A67</f>
        <v/>
      </c>
      <c r="B67" s="16" t="str">
        <f>IF(A67="","",IF(Clean_Data!C67="","FAIL","PASS"))</f>
        <v/>
      </c>
      <c r="C67" s="16" t="str">
        <f>IF(A67="","",IF(AND(Clean_Data!C67&lt;&gt;"",Clean_Data!J67="NO"),"FAIL","PASS"))</f>
        <v/>
      </c>
      <c r="D67" s="16" t="str">
        <f>IF(A67="","",IF(Clean_Data!E67="","FAIL","PASS"))</f>
        <v/>
      </c>
      <c r="E67" s="16" t="str">
        <f>IF(A67="","",IF(Clean_Data!G67="","FAIL","PASS"))</f>
        <v/>
      </c>
      <c r="F67" s="16" t="str">
        <f>IF(A67="","",IF(Clean_Data!G67="","OK",IF(Clean_Data!G67&gt;16,"FLAG","OK")))</f>
        <v/>
      </c>
      <c r="G67" s="16" t="str">
        <f>IF(A67="","",IF(Clean_Data!H67="","FAIL","PASS"))</f>
        <v/>
      </c>
      <c r="H67" s="16" t="str">
        <f>IF(A67="","",IF(OR(Clean_Data!D67="",Clean_Data!K67="NO"),"FAIL","PASS"))</f>
        <v/>
      </c>
      <c r="I67" s="16" t="str">
        <f t="shared" si="0"/>
        <v/>
      </c>
      <c r="J67" s="17" t="str">
        <f t="shared" si="1"/>
        <v/>
      </c>
      <c r="K67" s="16" t="str">
        <f t="shared" si="2"/>
        <v/>
      </c>
    </row>
    <row r="68" spans="1:11" x14ac:dyDescent="0.35">
      <c r="A68" s="8" t="str">
        <f>Clean_Data!A68</f>
        <v/>
      </c>
      <c r="B68" s="16" t="str">
        <f>IF(A68="","",IF(Clean_Data!C68="","FAIL","PASS"))</f>
        <v/>
      </c>
      <c r="C68" s="16" t="str">
        <f>IF(A68="","",IF(AND(Clean_Data!C68&lt;&gt;"",Clean_Data!J68="NO"),"FAIL","PASS"))</f>
        <v/>
      </c>
      <c r="D68" s="16" t="str">
        <f>IF(A68="","",IF(Clean_Data!E68="","FAIL","PASS"))</f>
        <v/>
      </c>
      <c r="E68" s="16" t="str">
        <f>IF(A68="","",IF(Clean_Data!G68="","FAIL","PASS"))</f>
        <v/>
      </c>
      <c r="F68" s="16" t="str">
        <f>IF(A68="","",IF(Clean_Data!G68="","OK",IF(Clean_Data!G68&gt;16,"FLAG","OK")))</f>
        <v/>
      </c>
      <c r="G68" s="16" t="str">
        <f>IF(A68="","",IF(Clean_Data!H68="","FAIL","PASS"))</f>
        <v/>
      </c>
      <c r="H68" s="16" t="str">
        <f>IF(A68="","",IF(OR(Clean_Data!D68="",Clean_Data!K68="NO"),"FAIL","PASS"))</f>
        <v/>
      </c>
      <c r="I68" s="16" t="str">
        <f t="shared" ref="I68:I131" si="3">IF(A68="","",IF(COUNTIF(B68:H68,"FAIL")&gt;0,"ERROR",IF(COUNTIF(B68:H68,"FLAG")&gt;0,"REVIEW","OK")))</f>
        <v/>
      </c>
      <c r="J68" s="17" t="str">
        <f t="shared" ref="J68:J131" si="4">IF(A68="","",IF(B68="FAIL",300,0)+IF(C68="FAIL",350,0)+IF(D68="FAIL",250,0)+IF(E68="FAIL",400,0)+IF(F68="FLAG",150,0)+IF(G68="FAIL",200,0)+IF(H68="FAIL",200,0))</f>
        <v/>
      </c>
      <c r="K68" s="16" t="str">
        <f t="shared" ref="K68:K131" si="5">IF(A68="","",IF(B68="FAIL","Missing name",IF(C68="FAIL","Unknown lineman",IF(D68="FAIL","Missing job",IF(E68="FAIL","Invalid hours",IF(F68="FLAG","Hours outlier",IF(G68="FAIL","Missing area",IF(H68="FAIL","Missing foreman","OK"))))))))</f>
        <v/>
      </c>
    </row>
    <row r="69" spans="1:11" x14ac:dyDescent="0.35">
      <c r="A69" s="8" t="str">
        <f>Clean_Data!A69</f>
        <v/>
      </c>
      <c r="B69" s="16" t="str">
        <f>IF(A69="","",IF(Clean_Data!C69="","FAIL","PASS"))</f>
        <v/>
      </c>
      <c r="C69" s="16" t="str">
        <f>IF(A69="","",IF(AND(Clean_Data!C69&lt;&gt;"",Clean_Data!J69="NO"),"FAIL","PASS"))</f>
        <v/>
      </c>
      <c r="D69" s="16" t="str">
        <f>IF(A69="","",IF(Clean_Data!E69="","FAIL","PASS"))</f>
        <v/>
      </c>
      <c r="E69" s="16" t="str">
        <f>IF(A69="","",IF(Clean_Data!G69="","FAIL","PASS"))</f>
        <v/>
      </c>
      <c r="F69" s="16" t="str">
        <f>IF(A69="","",IF(Clean_Data!G69="","OK",IF(Clean_Data!G69&gt;16,"FLAG","OK")))</f>
        <v/>
      </c>
      <c r="G69" s="16" t="str">
        <f>IF(A69="","",IF(Clean_Data!H69="","FAIL","PASS"))</f>
        <v/>
      </c>
      <c r="H69" s="16" t="str">
        <f>IF(A69="","",IF(OR(Clean_Data!D69="",Clean_Data!K69="NO"),"FAIL","PASS"))</f>
        <v/>
      </c>
      <c r="I69" s="16" t="str">
        <f t="shared" si="3"/>
        <v/>
      </c>
      <c r="J69" s="17" t="str">
        <f t="shared" si="4"/>
        <v/>
      </c>
      <c r="K69" s="16" t="str">
        <f t="shared" si="5"/>
        <v/>
      </c>
    </row>
    <row r="70" spans="1:11" x14ac:dyDescent="0.35">
      <c r="A70" s="8" t="str">
        <f>Clean_Data!A70</f>
        <v/>
      </c>
      <c r="B70" s="16" t="str">
        <f>IF(A70="","",IF(Clean_Data!C70="","FAIL","PASS"))</f>
        <v/>
      </c>
      <c r="C70" s="16" t="str">
        <f>IF(A70="","",IF(AND(Clean_Data!C70&lt;&gt;"",Clean_Data!J70="NO"),"FAIL","PASS"))</f>
        <v/>
      </c>
      <c r="D70" s="16" t="str">
        <f>IF(A70="","",IF(Clean_Data!E70="","FAIL","PASS"))</f>
        <v/>
      </c>
      <c r="E70" s="16" t="str">
        <f>IF(A70="","",IF(Clean_Data!G70="","FAIL","PASS"))</f>
        <v/>
      </c>
      <c r="F70" s="16" t="str">
        <f>IF(A70="","",IF(Clean_Data!G70="","OK",IF(Clean_Data!G70&gt;16,"FLAG","OK")))</f>
        <v/>
      </c>
      <c r="G70" s="16" t="str">
        <f>IF(A70="","",IF(Clean_Data!H70="","FAIL","PASS"))</f>
        <v/>
      </c>
      <c r="H70" s="16" t="str">
        <f>IF(A70="","",IF(OR(Clean_Data!D70="",Clean_Data!K70="NO"),"FAIL","PASS"))</f>
        <v/>
      </c>
      <c r="I70" s="16" t="str">
        <f t="shared" si="3"/>
        <v/>
      </c>
      <c r="J70" s="17" t="str">
        <f t="shared" si="4"/>
        <v/>
      </c>
      <c r="K70" s="16" t="str">
        <f t="shared" si="5"/>
        <v/>
      </c>
    </row>
    <row r="71" spans="1:11" x14ac:dyDescent="0.35">
      <c r="A71" s="8" t="str">
        <f>Clean_Data!A71</f>
        <v/>
      </c>
      <c r="B71" s="16" t="str">
        <f>IF(A71="","",IF(Clean_Data!C71="","FAIL","PASS"))</f>
        <v/>
      </c>
      <c r="C71" s="16" t="str">
        <f>IF(A71="","",IF(AND(Clean_Data!C71&lt;&gt;"",Clean_Data!J71="NO"),"FAIL","PASS"))</f>
        <v/>
      </c>
      <c r="D71" s="16" t="str">
        <f>IF(A71="","",IF(Clean_Data!E71="","FAIL","PASS"))</f>
        <v/>
      </c>
      <c r="E71" s="16" t="str">
        <f>IF(A71="","",IF(Clean_Data!G71="","FAIL","PASS"))</f>
        <v/>
      </c>
      <c r="F71" s="16" t="str">
        <f>IF(A71="","",IF(Clean_Data!G71="","OK",IF(Clean_Data!G71&gt;16,"FLAG","OK")))</f>
        <v/>
      </c>
      <c r="G71" s="16" t="str">
        <f>IF(A71="","",IF(Clean_Data!H71="","FAIL","PASS"))</f>
        <v/>
      </c>
      <c r="H71" s="16" t="str">
        <f>IF(A71="","",IF(OR(Clean_Data!D71="",Clean_Data!K71="NO"),"FAIL","PASS"))</f>
        <v/>
      </c>
      <c r="I71" s="16" t="str">
        <f t="shared" si="3"/>
        <v/>
      </c>
      <c r="J71" s="17" t="str">
        <f t="shared" si="4"/>
        <v/>
      </c>
      <c r="K71" s="16" t="str">
        <f t="shared" si="5"/>
        <v/>
      </c>
    </row>
    <row r="72" spans="1:11" x14ac:dyDescent="0.35">
      <c r="A72" s="8" t="str">
        <f>Clean_Data!A72</f>
        <v/>
      </c>
      <c r="B72" s="16" t="str">
        <f>IF(A72="","",IF(Clean_Data!C72="","FAIL","PASS"))</f>
        <v/>
      </c>
      <c r="C72" s="16" t="str">
        <f>IF(A72="","",IF(AND(Clean_Data!C72&lt;&gt;"",Clean_Data!J72="NO"),"FAIL","PASS"))</f>
        <v/>
      </c>
      <c r="D72" s="16" t="str">
        <f>IF(A72="","",IF(Clean_Data!E72="","FAIL","PASS"))</f>
        <v/>
      </c>
      <c r="E72" s="16" t="str">
        <f>IF(A72="","",IF(Clean_Data!G72="","FAIL","PASS"))</f>
        <v/>
      </c>
      <c r="F72" s="16" t="str">
        <f>IF(A72="","",IF(Clean_Data!G72="","OK",IF(Clean_Data!G72&gt;16,"FLAG","OK")))</f>
        <v/>
      </c>
      <c r="G72" s="16" t="str">
        <f>IF(A72="","",IF(Clean_Data!H72="","FAIL","PASS"))</f>
        <v/>
      </c>
      <c r="H72" s="16" t="str">
        <f>IF(A72="","",IF(OR(Clean_Data!D72="",Clean_Data!K72="NO"),"FAIL","PASS"))</f>
        <v/>
      </c>
      <c r="I72" s="16" t="str">
        <f t="shared" si="3"/>
        <v/>
      </c>
      <c r="J72" s="17" t="str">
        <f t="shared" si="4"/>
        <v/>
      </c>
      <c r="K72" s="16" t="str">
        <f t="shared" si="5"/>
        <v/>
      </c>
    </row>
    <row r="73" spans="1:11" x14ac:dyDescent="0.35">
      <c r="A73" s="8" t="str">
        <f>Clean_Data!A73</f>
        <v/>
      </c>
      <c r="B73" s="16" t="str">
        <f>IF(A73="","",IF(Clean_Data!C73="","FAIL","PASS"))</f>
        <v/>
      </c>
      <c r="C73" s="16" t="str">
        <f>IF(A73="","",IF(AND(Clean_Data!C73&lt;&gt;"",Clean_Data!J73="NO"),"FAIL","PASS"))</f>
        <v/>
      </c>
      <c r="D73" s="16" t="str">
        <f>IF(A73="","",IF(Clean_Data!E73="","FAIL","PASS"))</f>
        <v/>
      </c>
      <c r="E73" s="16" t="str">
        <f>IF(A73="","",IF(Clean_Data!G73="","FAIL","PASS"))</f>
        <v/>
      </c>
      <c r="F73" s="16" t="str">
        <f>IF(A73="","",IF(Clean_Data!G73="","OK",IF(Clean_Data!G73&gt;16,"FLAG","OK")))</f>
        <v/>
      </c>
      <c r="G73" s="16" t="str">
        <f>IF(A73="","",IF(Clean_Data!H73="","FAIL","PASS"))</f>
        <v/>
      </c>
      <c r="H73" s="16" t="str">
        <f>IF(A73="","",IF(OR(Clean_Data!D73="",Clean_Data!K73="NO"),"FAIL","PASS"))</f>
        <v/>
      </c>
      <c r="I73" s="16" t="str">
        <f t="shared" si="3"/>
        <v/>
      </c>
      <c r="J73" s="17" t="str">
        <f t="shared" si="4"/>
        <v/>
      </c>
      <c r="K73" s="16" t="str">
        <f t="shared" si="5"/>
        <v/>
      </c>
    </row>
    <row r="74" spans="1:11" x14ac:dyDescent="0.35">
      <c r="A74" s="8" t="str">
        <f>Clean_Data!A74</f>
        <v/>
      </c>
      <c r="B74" s="16" t="str">
        <f>IF(A74="","",IF(Clean_Data!C74="","FAIL","PASS"))</f>
        <v/>
      </c>
      <c r="C74" s="16" t="str">
        <f>IF(A74="","",IF(AND(Clean_Data!C74&lt;&gt;"",Clean_Data!J74="NO"),"FAIL","PASS"))</f>
        <v/>
      </c>
      <c r="D74" s="16" t="str">
        <f>IF(A74="","",IF(Clean_Data!E74="","FAIL","PASS"))</f>
        <v/>
      </c>
      <c r="E74" s="16" t="str">
        <f>IF(A74="","",IF(Clean_Data!G74="","FAIL","PASS"))</f>
        <v/>
      </c>
      <c r="F74" s="16" t="str">
        <f>IF(A74="","",IF(Clean_Data!G74="","OK",IF(Clean_Data!G74&gt;16,"FLAG","OK")))</f>
        <v/>
      </c>
      <c r="G74" s="16" t="str">
        <f>IF(A74="","",IF(Clean_Data!H74="","FAIL","PASS"))</f>
        <v/>
      </c>
      <c r="H74" s="16" t="str">
        <f>IF(A74="","",IF(OR(Clean_Data!D74="",Clean_Data!K74="NO"),"FAIL","PASS"))</f>
        <v/>
      </c>
      <c r="I74" s="16" t="str">
        <f t="shared" si="3"/>
        <v/>
      </c>
      <c r="J74" s="17" t="str">
        <f t="shared" si="4"/>
        <v/>
      </c>
      <c r="K74" s="16" t="str">
        <f t="shared" si="5"/>
        <v/>
      </c>
    </row>
    <row r="75" spans="1:11" x14ac:dyDescent="0.35">
      <c r="A75" s="8" t="str">
        <f>Clean_Data!A75</f>
        <v/>
      </c>
      <c r="B75" s="16" t="str">
        <f>IF(A75="","",IF(Clean_Data!C75="","FAIL","PASS"))</f>
        <v/>
      </c>
      <c r="C75" s="16" t="str">
        <f>IF(A75="","",IF(AND(Clean_Data!C75&lt;&gt;"",Clean_Data!J75="NO"),"FAIL","PASS"))</f>
        <v/>
      </c>
      <c r="D75" s="16" t="str">
        <f>IF(A75="","",IF(Clean_Data!E75="","FAIL","PASS"))</f>
        <v/>
      </c>
      <c r="E75" s="16" t="str">
        <f>IF(A75="","",IF(Clean_Data!G75="","FAIL","PASS"))</f>
        <v/>
      </c>
      <c r="F75" s="16" t="str">
        <f>IF(A75="","",IF(Clean_Data!G75="","OK",IF(Clean_Data!G75&gt;16,"FLAG","OK")))</f>
        <v/>
      </c>
      <c r="G75" s="16" t="str">
        <f>IF(A75="","",IF(Clean_Data!H75="","FAIL","PASS"))</f>
        <v/>
      </c>
      <c r="H75" s="16" t="str">
        <f>IF(A75="","",IF(OR(Clean_Data!D75="",Clean_Data!K75="NO"),"FAIL","PASS"))</f>
        <v/>
      </c>
      <c r="I75" s="16" t="str">
        <f t="shared" si="3"/>
        <v/>
      </c>
      <c r="J75" s="17" t="str">
        <f t="shared" si="4"/>
        <v/>
      </c>
      <c r="K75" s="16" t="str">
        <f t="shared" si="5"/>
        <v/>
      </c>
    </row>
    <row r="76" spans="1:11" x14ac:dyDescent="0.35">
      <c r="A76" s="8" t="str">
        <f>Clean_Data!A76</f>
        <v/>
      </c>
      <c r="B76" s="16" t="str">
        <f>IF(A76="","",IF(Clean_Data!C76="","FAIL","PASS"))</f>
        <v/>
      </c>
      <c r="C76" s="16" t="str">
        <f>IF(A76="","",IF(AND(Clean_Data!C76&lt;&gt;"",Clean_Data!J76="NO"),"FAIL","PASS"))</f>
        <v/>
      </c>
      <c r="D76" s="16" t="str">
        <f>IF(A76="","",IF(Clean_Data!E76="","FAIL","PASS"))</f>
        <v/>
      </c>
      <c r="E76" s="16" t="str">
        <f>IF(A76="","",IF(Clean_Data!G76="","FAIL","PASS"))</f>
        <v/>
      </c>
      <c r="F76" s="16" t="str">
        <f>IF(A76="","",IF(Clean_Data!G76="","OK",IF(Clean_Data!G76&gt;16,"FLAG","OK")))</f>
        <v/>
      </c>
      <c r="G76" s="16" t="str">
        <f>IF(A76="","",IF(Clean_Data!H76="","FAIL","PASS"))</f>
        <v/>
      </c>
      <c r="H76" s="16" t="str">
        <f>IF(A76="","",IF(OR(Clean_Data!D76="",Clean_Data!K76="NO"),"FAIL","PASS"))</f>
        <v/>
      </c>
      <c r="I76" s="16" t="str">
        <f t="shared" si="3"/>
        <v/>
      </c>
      <c r="J76" s="17" t="str">
        <f t="shared" si="4"/>
        <v/>
      </c>
      <c r="K76" s="16" t="str">
        <f t="shared" si="5"/>
        <v/>
      </c>
    </row>
    <row r="77" spans="1:11" x14ac:dyDescent="0.35">
      <c r="A77" s="8" t="str">
        <f>Clean_Data!A77</f>
        <v/>
      </c>
      <c r="B77" s="16" t="str">
        <f>IF(A77="","",IF(Clean_Data!C77="","FAIL","PASS"))</f>
        <v/>
      </c>
      <c r="C77" s="16" t="str">
        <f>IF(A77="","",IF(AND(Clean_Data!C77&lt;&gt;"",Clean_Data!J77="NO"),"FAIL","PASS"))</f>
        <v/>
      </c>
      <c r="D77" s="16" t="str">
        <f>IF(A77="","",IF(Clean_Data!E77="","FAIL","PASS"))</f>
        <v/>
      </c>
      <c r="E77" s="16" t="str">
        <f>IF(A77="","",IF(Clean_Data!G77="","FAIL","PASS"))</f>
        <v/>
      </c>
      <c r="F77" s="16" t="str">
        <f>IF(A77="","",IF(Clean_Data!G77="","OK",IF(Clean_Data!G77&gt;16,"FLAG","OK")))</f>
        <v/>
      </c>
      <c r="G77" s="16" t="str">
        <f>IF(A77="","",IF(Clean_Data!H77="","FAIL","PASS"))</f>
        <v/>
      </c>
      <c r="H77" s="16" t="str">
        <f>IF(A77="","",IF(OR(Clean_Data!D77="",Clean_Data!K77="NO"),"FAIL","PASS"))</f>
        <v/>
      </c>
      <c r="I77" s="16" t="str">
        <f t="shared" si="3"/>
        <v/>
      </c>
      <c r="J77" s="17" t="str">
        <f t="shared" si="4"/>
        <v/>
      </c>
      <c r="K77" s="16" t="str">
        <f t="shared" si="5"/>
        <v/>
      </c>
    </row>
    <row r="78" spans="1:11" x14ac:dyDescent="0.35">
      <c r="A78" s="8" t="str">
        <f>Clean_Data!A78</f>
        <v/>
      </c>
      <c r="B78" s="16" t="str">
        <f>IF(A78="","",IF(Clean_Data!C78="","FAIL","PASS"))</f>
        <v/>
      </c>
      <c r="C78" s="16" t="str">
        <f>IF(A78="","",IF(AND(Clean_Data!C78&lt;&gt;"",Clean_Data!J78="NO"),"FAIL","PASS"))</f>
        <v/>
      </c>
      <c r="D78" s="16" t="str">
        <f>IF(A78="","",IF(Clean_Data!E78="","FAIL","PASS"))</f>
        <v/>
      </c>
      <c r="E78" s="16" t="str">
        <f>IF(A78="","",IF(Clean_Data!G78="","FAIL","PASS"))</f>
        <v/>
      </c>
      <c r="F78" s="16" t="str">
        <f>IF(A78="","",IF(Clean_Data!G78="","OK",IF(Clean_Data!G78&gt;16,"FLAG","OK")))</f>
        <v/>
      </c>
      <c r="G78" s="16" t="str">
        <f>IF(A78="","",IF(Clean_Data!H78="","FAIL","PASS"))</f>
        <v/>
      </c>
      <c r="H78" s="16" t="str">
        <f>IF(A78="","",IF(OR(Clean_Data!D78="",Clean_Data!K78="NO"),"FAIL","PASS"))</f>
        <v/>
      </c>
      <c r="I78" s="16" t="str">
        <f t="shared" si="3"/>
        <v/>
      </c>
      <c r="J78" s="17" t="str">
        <f t="shared" si="4"/>
        <v/>
      </c>
      <c r="K78" s="16" t="str">
        <f t="shared" si="5"/>
        <v/>
      </c>
    </row>
    <row r="79" spans="1:11" x14ac:dyDescent="0.35">
      <c r="A79" s="8" t="str">
        <f>Clean_Data!A79</f>
        <v/>
      </c>
      <c r="B79" s="16" t="str">
        <f>IF(A79="","",IF(Clean_Data!C79="","FAIL","PASS"))</f>
        <v/>
      </c>
      <c r="C79" s="16" t="str">
        <f>IF(A79="","",IF(AND(Clean_Data!C79&lt;&gt;"",Clean_Data!J79="NO"),"FAIL","PASS"))</f>
        <v/>
      </c>
      <c r="D79" s="16" t="str">
        <f>IF(A79="","",IF(Clean_Data!E79="","FAIL","PASS"))</f>
        <v/>
      </c>
      <c r="E79" s="16" t="str">
        <f>IF(A79="","",IF(Clean_Data!G79="","FAIL","PASS"))</f>
        <v/>
      </c>
      <c r="F79" s="16" t="str">
        <f>IF(A79="","",IF(Clean_Data!G79="","OK",IF(Clean_Data!G79&gt;16,"FLAG","OK")))</f>
        <v/>
      </c>
      <c r="G79" s="16" t="str">
        <f>IF(A79="","",IF(Clean_Data!H79="","FAIL","PASS"))</f>
        <v/>
      </c>
      <c r="H79" s="16" t="str">
        <f>IF(A79="","",IF(OR(Clean_Data!D79="",Clean_Data!K79="NO"),"FAIL","PASS"))</f>
        <v/>
      </c>
      <c r="I79" s="16" t="str">
        <f t="shared" si="3"/>
        <v/>
      </c>
      <c r="J79" s="17" t="str">
        <f t="shared" si="4"/>
        <v/>
      </c>
      <c r="K79" s="16" t="str">
        <f t="shared" si="5"/>
        <v/>
      </c>
    </row>
    <row r="80" spans="1:11" x14ac:dyDescent="0.35">
      <c r="A80" s="8" t="str">
        <f>Clean_Data!A80</f>
        <v/>
      </c>
      <c r="B80" s="16" t="str">
        <f>IF(A80="","",IF(Clean_Data!C80="","FAIL","PASS"))</f>
        <v/>
      </c>
      <c r="C80" s="16" t="str">
        <f>IF(A80="","",IF(AND(Clean_Data!C80&lt;&gt;"",Clean_Data!J80="NO"),"FAIL","PASS"))</f>
        <v/>
      </c>
      <c r="D80" s="16" t="str">
        <f>IF(A80="","",IF(Clean_Data!E80="","FAIL","PASS"))</f>
        <v/>
      </c>
      <c r="E80" s="16" t="str">
        <f>IF(A80="","",IF(Clean_Data!G80="","FAIL","PASS"))</f>
        <v/>
      </c>
      <c r="F80" s="16" t="str">
        <f>IF(A80="","",IF(Clean_Data!G80="","OK",IF(Clean_Data!G80&gt;16,"FLAG","OK")))</f>
        <v/>
      </c>
      <c r="G80" s="16" t="str">
        <f>IF(A80="","",IF(Clean_Data!H80="","FAIL","PASS"))</f>
        <v/>
      </c>
      <c r="H80" s="16" t="str">
        <f>IF(A80="","",IF(OR(Clean_Data!D80="",Clean_Data!K80="NO"),"FAIL","PASS"))</f>
        <v/>
      </c>
      <c r="I80" s="16" t="str">
        <f t="shared" si="3"/>
        <v/>
      </c>
      <c r="J80" s="17" t="str">
        <f t="shared" si="4"/>
        <v/>
      </c>
      <c r="K80" s="16" t="str">
        <f t="shared" si="5"/>
        <v/>
      </c>
    </row>
    <row r="81" spans="1:11" x14ac:dyDescent="0.35">
      <c r="A81" s="8" t="str">
        <f>Clean_Data!A81</f>
        <v/>
      </c>
      <c r="B81" s="16" t="str">
        <f>IF(A81="","",IF(Clean_Data!C81="","FAIL","PASS"))</f>
        <v/>
      </c>
      <c r="C81" s="16" t="str">
        <f>IF(A81="","",IF(AND(Clean_Data!C81&lt;&gt;"",Clean_Data!J81="NO"),"FAIL","PASS"))</f>
        <v/>
      </c>
      <c r="D81" s="16" t="str">
        <f>IF(A81="","",IF(Clean_Data!E81="","FAIL","PASS"))</f>
        <v/>
      </c>
      <c r="E81" s="16" t="str">
        <f>IF(A81="","",IF(Clean_Data!G81="","FAIL","PASS"))</f>
        <v/>
      </c>
      <c r="F81" s="16" t="str">
        <f>IF(A81="","",IF(Clean_Data!G81="","OK",IF(Clean_Data!G81&gt;16,"FLAG","OK")))</f>
        <v/>
      </c>
      <c r="G81" s="16" t="str">
        <f>IF(A81="","",IF(Clean_Data!H81="","FAIL","PASS"))</f>
        <v/>
      </c>
      <c r="H81" s="16" t="str">
        <f>IF(A81="","",IF(OR(Clean_Data!D81="",Clean_Data!K81="NO"),"FAIL","PASS"))</f>
        <v/>
      </c>
      <c r="I81" s="16" t="str">
        <f t="shared" si="3"/>
        <v/>
      </c>
      <c r="J81" s="17" t="str">
        <f t="shared" si="4"/>
        <v/>
      </c>
      <c r="K81" s="16" t="str">
        <f t="shared" si="5"/>
        <v/>
      </c>
    </row>
    <row r="82" spans="1:11" x14ac:dyDescent="0.35">
      <c r="A82" s="8" t="str">
        <f>Clean_Data!A82</f>
        <v/>
      </c>
      <c r="B82" s="16" t="str">
        <f>IF(A82="","",IF(Clean_Data!C82="","FAIL","PASS"))</f>
        <v/>
      </c>
      <c r="C82" s="16" t="str">
        <f>IF(A82="","",IF(AND(Clean_Data!C82&lt;&gt;"",Clean_Data!J82="NO"),"FAIL","PASS"))</f>
        <v/>
      </c>
      <c r="D82" s="16" t="str">
        <f>IF(A82="","",IF(Clean_Data!E82="","FAIL","PASS"))</f>
        <v/>
      </c>
      <c r="E82" s="16" t="str">
        <f>IF(A82="","",IF(Clean_Data!G82="","FAIL","PASS"))</f>
        <v/>
      </c>
      <c r="F82" s="16" t="str">
        <f>IF(A82="","",IF(Clean_Data!G82="","OK",IF(Clean_Data!G82&gt;16,"FLAG","OK")))</f>
        <v/>
      </c>
      <c r="G82" s="16" t="str">
        <f>IF(A82="","",IF(Clean_Data!H82="","FAIL","PASS"))</f>
        <v/>
      </c>
      <c r="H82" s="16" t="str">
        <f>IF(A82="","",IF(OR(Clean_Data!D82="",Clean_Data!K82="NO"),"FAIL","PASS"))</f>
        <v/>
      </c>
      <c r="I82" s="16" t="str">
        <f t="shared" si="3"/>
        <v/>
      </c>
      <c r="J82" s="17" t="str">
        <f t="shared" si="4"/>
        <v/>
      </c>
      <c r="K82" s="16" t="str">
        <f t="shared" si="5"/>
        <v/>
      </c>
    </row>
    <row r="83" spans="1:11" x14ac:dyDescent="0.35">
      <c r="A83" s="8" t="str">
        <f>Clean_Data!A83</f>
        <v/>
      </c>
      <c r="B83" s="16" t="str">
        <f>IF(A83="","",IF(Clean_Data!C83="","FAIL","PASS"))</f>
        <v/>
      </c>
      <c r="C83" s="16" t="str">
        <f>IF(A83="","",IF(AND(Clean_Data!C83&lt;&gt;"",Clean_Data!J83="NO"),"FAIL","PASS"))</f>
        <v/>
      </c>
      <c r="D83" s="16" t="str">
        <f>IF(A83="","",IF(Clean_Data!E83="","FAIL","PASS"))</f>
        <v/>
      </c>
      <c r="E83" s="16" t="str">
        <f>IF(A83="","",IF(Clean_Data!G83="","FAIL","PASS"))</f>
        <v/>
      </c>
      <c r="F83" s="16" t="str">
        <f>IF(A83="","",IF(Clean_Data!G83="","OK",IF(Clean_Data!G83&gt;16,"FLAG","OK")))</f>
        <v/>
      </c>
      <c r="G83" s="16" t="str">
        <f>IF(A83="","",IF(Clean_Data!H83="","FAIL","PASS"))</f>
        <v/>
      </c>
      <c r="H83" s="16" t="str">
        <f>IF(A83="","",IF(OR(Clean_Data!D83="",Clean_Data!K83="NO"),"FAIL","PASS"))</f>
        <v/>
      </c>
      <c r="I83" s="16" t="str">
        <f t="shared" si="3"/>
        <v/>
      </c>
      <c r="J83" s="17" t="str">
        <f t="shared" si="4"/>
        <v/>
      </c>
      <c r="K83" s="16" t="str">
        <f t="shared" si="5"/>
        <v/>
      </c>
    </row>
    <row r="84" spans="1:11" x14ac:dyDescent="0.35">
      <c r="A84" s="8" t="str">
        <f>Clean_Data!A84</f>
        <v/>
      </c>
      <c r="B84" s="16" t="str">
        <f>IF(A84="","",IF(Clean_Data!C84="","FAIL","PASS"))</f>
        <v/>
      </c>
      <c r="C84" s="16" t="str">
        <f>IF(A84="","",IF(AND(Clean_Data!C84&lt;&gt;"",Clean_Data!J84="NO"),"FAIL","PASS"))</f>
        <v/>
      </c>
      <c r="D84" s="16" t="str">
        <f>IF(A84="","",IF(Clean_Data!E84="","FAIL","PASS"))</f>
        <v/>
      </c>
      <c r="E84" s="16" t="str">
        <f>IF(A84="","",IF(Clean_Data!G84="","FAIL","PASS"))</f>
        <v/>
      </c>
      <c r="F84" s="16" t="str">
        <f>IF(A84="","",IF(Clean_Data!G84="","OK",IF(Clean_Data!G84&gt;16,"FLAG","OK")))</f>
        <v/>
      </c>
      <c r="G84" s="16" t="str">
        <f>IF(A84="","",IF(Clean_Data!H84="","FAIL","PASS"))</f>
        <v/>
      </c>
      <c r="H84" s="16" t="str">
        <f>IF(A84="","",IF(OR(Clean_Data!D84="",Clean_Data!K84="NO"),"FAIL","PASS"))</f>
        <v/>
      </c>
      <c r="I84" s="16" t="str">
        <f t="shared" si="3"/>
        <v/>
      </c>
      <c r="J84" s="17" t="str">
        <f t="shared" si="4"/>
        <v/>
      </c>
      <c r="K84" s="16" t="str">
        <f t="shared" si="5"/>
        <v/>
      </c>
    </row>
    <row r="85" spans="1:11" x14ac:dyDescent="0.35">
      <c r="A85" s="8" t="str">
        <f>Clean_Data!A85</f>
        <v/>
      </c>
      <c r="B85" s="16" t="str">
        <f>IF(A85="","",IF(Clean_Data!C85="","FAIL","PASS"))</f>
        <v/>
      </c>
      <c r="C85" s="16" t="str">
        <f>IF(A85="","",IF(AND(Clean_Data!C85&lt;&gt;"",Clean_Data!J85="NO"),"FAIL","PASS"))</f>
        <v/>
      </c>
      <c r="D85" s="16" t="str">
        <f>IF(A85="","",IF(Clean_Data!E85="","FAIL","PASS"))</f>
        <v/>
      </c>
      <c r="E85" s="16" t="str">
        <f>IF(A85="","",IF(Clean_Data!G85="","FAIL","PASS"))</f>
        <v/>
      </c>
      <c r="F85" s="16" t="str">
        <f>IF(A85="","",IF(Clean_Data!G85="","OK",IF(Clean_Data!G85&gt;16,"FLAG","OK")))</f>
        <v/>
      </c>
      <c r="G85" s="16" t="str">
        <f>IF(A85="","",IF(Clean_Data!H85="","FAIL","PASS"))</f>
        <v/>
      </c>
      <c r="H85" s="16" t="str">
        <f>IF(A85="","",IF(OR(Clean_Data!D85="",Clean_Data!K85="NO"),"FAIL","PASS"))</f>
        <v/>
      </c>
      <c r="I85" s="16" t="str">
        <f t="shared" si="3"/>
        <v/>
      </c>
      <c r="J85" s="17" t="str">
        <f t="shared" si="4"/>
        <v/>
      </c>
      <c r="K85" s="16" t="str">
        <f t="shared" si="5"/>
        <v/>
      </c>
    </row>
    <row r="86" spans="1:11" x14ac:dyDescent="0.35">
      <c r="A86" s="8" t="str">
        <f>Clean_Data!A86</f>
        <v/>
      </c>
      <c r="B86" s="16" t="str">
        <f>IF(A86="","",IF(Clean_Data!C86="","FAIL","PASS"))</f>
        <v/>
      </c>
      <c r="C86" s="16" t="str">
        <f>IF(A86="","",IF(AND(Clean_Data!C86&lt;&gt;"",Clean_Data!J86="NO"),"FAIL","PASS"))</f>
        <v/>
      </c>
      <c r="D86" s="16" t="str">
        <f>IF(A86="","",IF(Clean_Data!E86="","FAIL","PASS"))</f>
        <v/>
      </c>
      <c r="E86" s="16" t="str">
        <f>IF(A86="","",IF(Clean_Data!G86="","FAIL","PASS"))</f>
        <v/>
      </c>
      <c r="F86" s="16" t="str">
        <f>IF(A86="","",IF(Clean_Data!G86="","OK",IF(Clean_Data!G86&gt;16,"FLAG","OK")))</f>
        <v/>
      </c>
      <c r="G86" s="16" t="str">
        <f>IF(A86="","",IF(Clean_Data!H86="","FAIL","PASS"))</f>
        <v/>
      </c>
      <c r="H86" s="16" t="str">
        <f>IF(A86="","",IF(OR(Clean_Data!D86="",Clean_Data!K86="NO"),"FAIL","PASS"))</f>
        <v/>
      </c>
      <c r="I86" s="16" t="str">
        <f t="shared" si="3"/>
        <v/>
      </c>
      <c r="J86" s="17" t="str">
        <f t="shared" si="4"/>
        <v/>
      </c>
      <c r="K86" s="16" t="str">
        <f t="shared" si="5"/>
        <v/>
      </c>
    </row>
    <row r="87" spans="1:11" x14ac:dyDescent="0.35">
      <c r="A87" s="8" t="str">
        <f>Clean_Data!A87</f>
        <v/>
      </c>
      <c r="B87" s="16" t="str">
        <f>IF(A87="","",IF(Clean_Data!C87="","FAIL","PASS"))</f>
        <v/>
      </c>
      <c r="C87" s="16" t="str">
        <f>IF(A87="","",IF(AND(Clean_Data!C87&lt;&gt;"",Clean_Data!J87="NO"),"FAIL","PASS"))</f>
        <v/>
      </c>
      <c r="D87" s="16" t="str">
        <f>IF(A87="","",IF(Clean_Data!E87="","FAIL","PASS"))</f>
        <v/>
      </c>
      <c r="E87" s="16" t="str">
        <f>IF(A87="","",IF(Clean_Data!G87="","FAIL","PASS"))</f>
        <v/>
      </c>
      <c r="F87" s="16" t="str">
        <f>IF(A87="","",IF(Clean_Data!G87="","OK",IF(Clean_Data!G87&gt;16,"FLAG","OK")))</f>
        <v/>
      </c>
      <c r="G87" s="16" t="str">
        <f>IF(A87="","",IF(Clean_Data!H87="","FAIL","PASS"))</f>
        <v/>
      </c>
      <c r="H87" s="16" t="str">
        <f>IF(A87="","",IF(OR(Clean_Data!D87="",Clean_Data!K87="NO"),"FAIL","PASS"))</f>
        <v/>
      </c>
      <c r="I87" s="16" t="str">
        <f t="shared" si="3"/>
        <v/>
      </c>
      <c r="J87" s="17" t="str">
        <f t="shared" si="4"/>
        <v/>
      </c>
      <c r="K87" s="16" t="str">
        <f t="shared" si="5"/>
        <v/>
      </c>
    </row>
    <row r="88" spans="1:11" x14ac:dyDescent="0.35">
      <c r="A88" s="8" t="str">
        <f>Clean_Data!A88</f>
        <v/>
      </c>
      <c r="B88" s="16" t="str">
        <f>IF(A88="","",IF(Clean_Data!C88="","FAIL","PASS"))</f>
        <v/>
      </c>
      <c r="C88" s="16" t="str">
        <f>IF(A88="","",IF(AND(Clean_Data!C88&lt;&gt;"",Clean_Data!J88="NO"),"FAIL","PASS"))</f>
        <v/>
      </c>
      <c r="D88" s="16" t="str">
        <f>IF(A88="","",IF(Clean_Data!E88="","FAIL","PASS"))</f>
        <v/>
      </c>
      <c r="E88" s="16" t="str">
        <f>IF(A88="","",IF(Clean_Data!G88="","FAIL","PASS"))</f>
        <v/>
      </c>
      <c r="F88" s="16" t="str">
        <f>IF(A88="","",IF(Clean_Data!G88="","OK",IF(Clean_Data!G88&gt;16,"FLAG","OK")))</f>
        <v/>
      </c>
      <c r="G88" s="16" t="str">
        <f>IF(A88="","",IF(Clean_Data!H88="","FAIL","PASS"))</f>
        <v/>
      </c>
      <c r="H88" s="16" t="str">
        <f>IF(A88="","",IF(OR(Clean_Data!D88="",Clean_Data!K88="NO"),"FAIL","PASS"))</f>
        <v/>
      </c>
      <c r="I88" s="16" t="str">
        <f t="shared" si="3"/>
        <v/>
      </c>
      <c r="J88" s="17" t="str">
        <f t="shared" si="4"/>
        <v/>
      </c>
      <c r="K88" s="16" t="str">
        <f t="shared" si="5"/>
        <v/>
      </c>
    </row>
    <row r="89" spans="1:11" x14ac:dyDescent="0.35">
      <c r="A89" s="8" t="str">
        <f>Clean_Data!A89</f>
        <v/>
      </c>
      <c r="B89" s="16" t="str">
        <f>IF(A89="","",IF(Clean_Data!C89="","FAIL","PASS"))</f>
        <v/>
      </c>
      <c r="C89" s="16" t="str">
        <f>IF(A89="","",IF(AND(Clean_Data!C89&lt;&gt;"",Clean_Data!J89="NO"),"FAIL","PASS"))</f>
        <v/>
      </c>
      <c r="D89" s="16" t="str">
        <f>IF(A89="","",IF(Clean_Data!E89="","FAIL","PASS"))</f>
        <v/>
      </c>
      <c r="E89" s="16" t="str">
        <f>IF(A89="","",IF(Clean_Data!G89="","FAIL","PASS"))</f>
        <v/>
      </c>
      <c r="F89" s="16" t="str">
        <f>IF(A89="","",IF(Clean_Data!G89="","OK",IF(Clean_Data!G89&gt;16,"FLAG","OK")))</f>
        <v/>
      </c>
      <c r="G89" s="16" t="str">
        <f>IF(A89="","",IF(Clean_Data!H89="","FAIL","PASS"))</f>
        <v/>
      </c>
      <c r="H89" s="16" t="str">
        <f>IF(A89="","",IF(OR(Clean_Data!D89="",Clean_Data!K89="NO"),"FAIL","PASS"))</f>
        <v/>
      </c>
      <c r="I89" s="16" t="str">
        <f t="shared" si="3"/>
        <v/>
      </c>
      <c r="J89" s="17" t="str">
        <f t="shared" si="4"/>
        <v/>
      </c>
      <c r="K89" s="16" t="str">
        <f t="shared" si="5"/>
        <v/>
      </c>
    </row>
    <row r="90" spans="1:11" x14ac:dyDescent="0.35">
      <c r="A90" s="8" t="str">
        <f>Clean_Data!A90</f>
        <v/>
      </c>
      <c r="B90" s="16" t="str">
        <f>IF(A90="","",IF(Clean_Data!C90="","FAIL","PASS"))</f>
        <v/>
      </c>
      <c r="C90" s="16" t="str">
        <f>IF(A90="","",IF(AND(Clean_Data!C90&lt;&gt;"",Clean_Data!J90="NO"),"FAIL","PASS"))</f>
        <v/>
      </c>
      <c r="D90" s="16" t="str">
        <f>IF(A90="","",IF(Clean_Data!E90="","FAIL","PASS"))</f>
        <v/>
      </c>
      <c r="E90" s="16" t="str">
        <f>IF(A90="","",IF(Clean_Data!G90="","FAIL","PASS"))</f>
        <v/>
      </c>
      <c r="F90" s="16" t="str">
        <f>IF(A90="","",IF(Clean_Data!G90="","OK",IF(Clean_Data!G90&gt;16,"FLAG","OK")))</f>
        <v/>
      </c>
      <c r="G90" s="16" t="str">
        <f>IF(A90="","",IF(Clean_Data!H90="","FAIL","PASS"))</f>
        <v/>
      </c>
      <c r="H90" s="16" t="str">
        <f>IF(A90="","",IF(OR(Clean_Data!D90="",Clean_Data!K90="NO"),"FAIL","PASS"))</f>
        <v/>
      </c>
      <c r="I90" s="16" t="str">
        <f t="shared" si="3"/>
        <v/>
      </c>
      <c r="J90" s="17" t="str">
        <f t="shared" si="4"/>
        <v/>
      </c>
      <c r="K90" s="16" t="str">
        <f t="shared" si="5"/>
        <v/>
      </c>
    </row>
    <row r="91" spans="1:11" x14ac:dyDescent="0.35">
      <c r="A91" s="8" t="str">
        <f>Clean_Data!A91</f>
        <v/>
      </c>
      <c r="B91" s="16" t="str">
        <f>IF(A91="","",IF(Clean_Data!C91="","FAIL","PASS"))</f>
        <v/>
      </c>
      <c r="C91" s="16" t="str">
        <f>IF(A91="","",IF(AND(Clean_Data!C91&lt;&gt;"",Clean_Data!J91="NO"),"FAIL","PASS"))</f>
        <v/>
      </c>
      <c r="D91" s="16" t="str">
        <f>IF(A91="","",IF(Clean_Data!E91="","FAIL","PASS"))</f>
        <v/>
      </c>
      <c r="E91" s="16" t="str">
        <f>IF(A91="","",IF(Clean_Data!G91="","FAIL","PASS"))</f>
        <v/>
      </c>
      <c r="F91" s="16" t="str">
        <f>IF(A91="","",IF(Clean_Data!G91="","OK",IF(Clean_Data!G91&gt;16,"FLAG","OK")))</f>
        <v/>
      </c>
      <c r="G91" s="16" t="str">
        <f>IF(A91="","",IF(Clean_Data!H91="","FAIL","PASS"))</f>
        <v/>
      </c>
      <c r="H91" s="16" t="str">
        <f>IF(A91="","",IF(OR(Clean_Data!D91="",Clean_Data!K91="NO"),"FAIL","PASS"))</f>
        <v/>
      </c>
      <c r="I91" s="16" t="str">
        <f t="shared" si="3"/>
        <v/>
      </c>
      <c r="J91" s="17" t="str">
        <f t="shared" si="4"/>
        <v/>
      </c>
      <c r="K91" s="16" t="str">
        <f t="shared" si="5"/>
        <v/>
      </c>
    </row>
    <row r="92" spans="1:11" x14ac:dyDescent="0.35">
      <c r="A92" s="8" t="str">
        <f>Clean_Data!A92</f>
        <v/>
      </c>
      <c r="B92" s="16" t="str">
        <f>IF(A92="","",IF(Clean_Data!C92="","FAIL","PASS"))</f>
        <v/>
      </c>
      <c r="C92" s="16" t="str">
        <f>IF(A92="","",IF(AND(Clean_Data!C92&lt;&gt;"",Clean_Data!J92="NO"),"FAIL","PASS"))</f>
        <v/>
      </c>
      <c r="D92" s="16" t="str">
        <f>IF(A92="","",IF(Clean_Data!E92="","FAIL","PASS"))</f>
        <v/>
      </c>
      <c r="E92" s="16" t="str">
        <f>IF(A92="","",IF(Clean_Data!G92="","FAIL","PASS"))</f>
        <v/>
      </c>
      <c r="F92" s="16" t="str">
        <f>IF(A92="","",IF(Clean_Data!G92="","OK",IF(Clean_Data!G92&gt;16,"FLAG","OK")))</f>
        <v/>
      </c>
      <c r="G92" s="16" t="str">
        <f>IF(A92="","",IF(Clean_Data!H92="","FAIL","PASS"))</f>
        <v/>
      </c>
      <c r="H92" s="16" t="str">
        <f>IF(A92="","",IF(OR(Clean_Data!D92="",Clean_Data!K92="NO"),"FAIL","PASS"))</f>
        <v/>
      </c>
      <c r="I92" s="16" t="str">
        <f t="shared" si="3"/>
        <v/>
      </c>
      <c r="J92" s="17" t="str">
        <f t="shared" si="4"/>
        <v/>
      </c>
      <c r="K92" s="16" t="str">
        <f t="shared" si="5"/>
        <v/>
      </c>
    </row>
    <row r="93" spans="1:11" x14ac:dyDescent="0.35">
      <c r="A93" s="8" t="str">
        <f>Clean_Data!A93</f>
        <v/>
      </c>
      <c r="B93" s="16" t="str">
        <f>IF(A93="","",IF(Clean_Data!C93="","FAIL","PASS"))</f>
        <v/>
      </c>
      <c r="C93" s="16" t="str">
        <f>IF(A93="","",IF(AND(Clean_Data!C93&lt;&gt;"",Clean_Data!J93="NO"),"FAIL","PASS"))</f>
        <v/>
      </c>
      <c r="D93" s="16" t="str">
        <f>IF(A93="","",IF(Clean_Data!E93="","FAIL","PASS"))</f>
        <v/>
      </c>
      <c r="E93" s="16" t="str">
        <f>IF(A93="","",IF(Clean_Data!G93="","FAIL","PASS"))</f>
        <v/>
      </c>
      <c r="F93" s="16" t="str">
        <f>IF(A93="","",IF(Clean_Data!G93="","OK",IF(Clean_Data!G93&gt;16,"FLAG","OK")))</f>
        <v/>
      </c>
      <c r="G93" s="16" t="str">
        <f>IF(A93="","",IF(Clean_Data!H93="","FAIL","PASS"))</f>
        <v/>
      </c>
      <c r="H93" s="16" t="str">
        <f>IF(A93="","",IF(OR(Clean_Data!D93="",Clean_Data!K93="NO"),"FAIL","PASS"))</f>
        <v/>
      </c>
      <c r="I93" s="16" t="str">
        <f t="shared" si="3"/>
        <v/>
      </c>
      <c r="J93" s="17" t="str">
        <f t="shared" si="4"/>
        <v/>
      </c>
      <c r="K93" s="16" t="str">
        <f t="shared" si="5"/>
        <v/>
      </c>
    </row>
    <row r="94" spans="1:11" x14ac:dyDescent="0.35">
      <c r="A94" s="8" t="str">
        <f>Clean_Data!A94</f>
        <v/>
      </c>
      <c r="B94" s="16" t="str">
        <f>IF(A94="","",IF(Clean_Data!C94="","FAIL","PASS"))</f>
        <v/>
      </c>
      <c r="C94" s="16" t="str">
        <f>IF(A94="","",IF(AND(Clean_Data!C94&lt;&gt;"",Clean_Data!J94="NO"),"FAIL","PASS"))</f>
        <v/>
      </c>
      <c r="D94" s="16" t="str">
        <f>IF(A94="","",IF(Clean_Data!E94="","FAIL","PASS"))</f>
        <v/>
      </c>
      <c r="E94" s="16" t="str">
        <f>IF(A94="","",IF(Clean_Data!G94="","FAIL","PASS"))</f>
        <v/>
      </c>
      <c r="F94" s="16" t="str">
        <f>IF(A94="","",IF(Clean_Data!G94="","OK",IF(Clean_Data!G94&gt;16,"FLAG","OK")))</f>
        <v/>
      </c>
      <c r="G94" s="16" t="str">
        <f>IF(A94="","",IF(Clean_Data!H94="","FAIL","PASS"))</f>
        <v/>
      </c>
      <c r="H94" s="16" t="str">
        <f>IF(A94="","",IF(OR(Clean_Data!D94="",Clean_Data!K94="NO"),"FAIL","PASS"))</f>
        <v/>
      </c>
      <c r="I94" s="16" t="str">
        <f t="shared" si="3"/>
        <v/>
      </c>
      <c r="J94" s="17" t="str">
        <f t="shared" si="4"/>
        <v/>
      </c>
      <c r="K94" s="16" t="str">
        <f t="shared" si="5"/>
        <v/>
      </c>
    </row>
    <row r="95" spans="1:11" x14ac:dyDescent="0.35">
      <c r="A95" s="8" t="str">
        <f>Clean_Data!A95</f>
        <v/>
      </c>
      <c r="B95" s="16" t="str">
        <f>IF(A95="","",IF(Clean_Data!C95="","FAIL","PASS"))</f>
        <v/>
      </c>
      <c r="C95" s="16" t="str">
        <f>IF(A95="","",IF(AND(Clean_Data!C95&lt;&gt;"",Clean_Data!J95="NO"),"FAIL","PASS"))</f>
        <v/>
      </c>
      <c r="D95" s="16" t="str">
        <f>IF(A95="","",IF(Clean_Data!E95="","FAIL","PASS"))</f>
        <v/>
      </c>
      <c r="E95" s="16" t="str">
        <f>IF(A95="","",IF(Clean_Data!G95="","FAIL","PASS"))</f>
        <v/>
      </c>
      <c r="F95" s="16" t="str">
        <f>IF(A95="","",IF(Clean_Data!G95="","OK",IF(Clean_Data!G95&gt;16,"FLAG","OK")))</f>
        <v/>
      </c>
      <c r="G95" s="16" t="str">
        <f>IF(A95="","",IF(Clean_Data!H95="","FAIL","PASS"))</f>
        <v/>
      </c>
      <c r="H95" s="16" t="str">
        <f>IF(A95="","",IF(OR(Clean_Data!D95="",Clean_Data!K95="NO"),"FAIL","PASS"))</f>
        <v/>
      </c>
      <c r="I95" s="16" t="str">
        <f t="shared" si="3"/>
        <v/>
      </c>
      <c r="J95" s="17" t="str">
        <f t="shared" si="4"/>
        <v/>
      </c>
      <c r="K95" s="16" t="str">
        <f t="shared" si="5"/>
        <v/>
      </c>
    </row>
    <row r="96" spans="1:11" x14ac:dyDescent="0.35">
      <c r="A96" s="8" t="str">
        <f>Clean_Data!A96</f>
        <v/>
      </c>
      <c r="B96" s="16" t="str">
        <f>IF(A96="","",IF(Clean_Data!C96="","FAIL","PASS"))</f>
        <v/>
      </c>
      <c r="C96" s="16" t="str">
        <f>IF(A96="","",IF(AND(Clean_Data!C96&lt;&gt;"",Clean_Data!J96="NO"),"FAIL","PASS"))</f>
        <v/>
      </c>
      <c r="D96" s="16" t="str">
        <f>IF(A96="","",IF(Clean_Data!E96="","FAIL","PASS"))</f>
        <v/>
      </c>
      <c r="E96" s="16" t="str">
        <f>IF(A96="","",IF(Clean_Data!G96="","FAIL","PASS"))</f>
        <v/>
      </c>
      <c r="F96" s="16" t="str">
        <f>IF(A96="","",IF(Clean_Data!G96="","OK",IF(Clean_Data!G96&gt;16,"FLAG","OK")))</f>
        <v/>
      </c>
      <c r="G96" s="16" t="str">
        <f>IF(A96="","",IF(Clean_Data!H96="","FAIL","PASS"))</f>
        <v/>
      </c>
      <c r="H96" s="16" t="str">
        <f>IF(A96="","",IF(OR(Clean_Data!D96="",Clean_Data!K96="NO"),"FAIL","PASS"))</f>
        <v/>
      </c>
      <c r="I96" s="16" t="str">
        <f t="shared" si="3"/>
        <v/>
      </c>
      <c r="J96" s="17" t="str">
        <f t="shared" si="4"/>
        <v/>
      </c>
      <c r="K96" s="16" t="str">
        <f t="shared" si="5"/>
        <v/>
      </c>
    </row>
    <row r="97" spans="1:11" x14ac:dyDescent="0.35">
      <c r="A97" s="8" t="str">
        <f>Clean_Data!A97</f>
        <v/>
      </c>
      <c r="B97" s="16" t="str">
        <f>IF(A97="","",IF(Clean_Data!C97="","FAIL","PASS"))</f>
        <v/>
      </c>
      <c r="C97" s="16" t="str">
        <f>IF(A97="","",IF(AND(Clean_Data!C97&lt;&gt;"",Clean_Data!J97="NO"),"FAIL","PASS"))</f>
        <v/>
      </c>
      <c r="D97" s="16" t="str">
        <f>IF(A97="","",IF(Clean_Data!E97="","FAIL","PASS"))</f>
        <v/>
      </c>
      <c r="E97" s="16" t="str">
        <f>IF(A97="","",IF(Clean_Data!G97="","FAIL","PASS"))</f>
        <v/>
      </c>
      <c r="F97" s="16" t="str">
        <f>IF(A97="","",IF(Clean_Data!G97="","OK",IF(Clean_Data!G97&gt;16,"FLAG","OK")))</f>
        <v/>
      </c>
      <c r="G97" s="16" t="str">
        <f>IF(A97="","",IF(Clean_Data!H97="","FAIL","PASS"))</f>
        <v/>
      </c>
      <c r="H97" s="16" t="str">
        <f>IF(A97="","",IF(OR(Clean_Data!D97="",Clean_Data!K97="NO"),"FAIL","PASS"))</f>
        <v/>
      </c>
      <c r="I97" s="16" t="str">
        <f t="shared" si="3"/>
        <v/>
      </c>
      <c r="J97" s="17" t="str">
        <f t="shared" si="4"/>
        <v/>
      </c>
      <c r="K97" s="16" t="str">
        <f t="shared" si="5"/>
        <v/>
      </c>
    </row>
    <row r="98" spans="1:11" x14ac:dyDescent="0.35">
      <c r="A98" s="8" t="str">
        <f>Clean_Data!A98</f>
        <v/>
      </c>
      <c r="B98" s="16" t="str">
        <f>IF(A98="","",IF(Clean_Data!C98="","FAIL","PASS"))</f>
        <v/>
      </c>
      <c r="C98" s="16" t="str">
        <f>IF(A98="","",IF(AND(Clean_Data!C98&lt;&gt;"",Clean_Data!J98="NO"),"FAIL","PASS"))</f>
        <v/>
      </c>
      <c r="D98" s="16" t="str">
        <f>IF(A98="","",IF(Clean_Data!E98="","FAIL","PASS"))</f>
        <v/>
      </c>
      <c r="E98" s="16" t="str">
        <f>IF(A98="","",IF(Clean_Data!G98="","FAIL","PASS"))</f>
        <v/>
      </c>
      <c r="F98" s="16" t="str">
        <f>IF(A98="","",IF(Clean_Data!G98="","OK",IF(Clean_Data!G98&gt;16,"FLAG","OK")))</f>
        <v/>
      </c>
      <c r="G98" s="16" t="str">
        <f>IF(A98="","",IF(Clean_Data!H98="","FAIL","PASS"))</f>
        <v/>
      </c>
      <c r="H98" s="16" t="str">
        <f>IF(A98="","",IF(OR(Clean_Data!D98="",Clean_Data!K98="NO"),"FAIL","PASS"))</f>
        <v/>
      </c>
      <c r="I98" s="16" t="str">
        <f t="shared" si="3"/>
        <v/>
      </c>
      <c r="J98" s="17" t="str">
        <f t="shared" si="4"/>
        <v/>
      </c>
      <c r="K98" s="16" t="str">
        <f t="shared" si="5"/>
        <v/>
      </c>
    </row>
    <row r="99" spans="1:11" x14ac:dyDescent="0.35">
      <c r="A99" s="8" t="str">
        <f>Clean_Data!A99</f>
        <v/>
      </c>
      <c r="B99" s="16" t="str">
        <f>IF(A99="","",IF(Clean_Data!C99="","FAIL","PASS"))</f>
        <v/>
      </c>
      <c r="C99" s="16" t="str">
        <f>IF(A99="","",IF(AND(Clean_Data!C99&lt;&gt;"",Clean_Data!J99="NO"),"FAIL","PASS"))</f>
        <v/>
      </c>
      <c r="D99" s="16" t="str">
        <f>IF(A99="","",IF(Clean_Data!E99="","FAIL","PASS"))</f>
        <v/>
      </c>
      <c r="E99" s="16" t="str">
        <f>IF(A99="","",IF(Clean_Data!G99="","FAIL","PASS"))</f>
        <v/>
      </c>
      <c r="F99" s="16" t="str">
        <f>IF(A99="","",IF(Clean_Data!G99="","OK",IF(Clean_Data!G99&gt;16,"FLAG","OK")))</f>
        <v/>
      </c>
      <c r="G99" s="16" t="str">
        <f>IF(A99="","",IF(Clean_Data!H99="","FAIL","PASS"))</f>
        <v/>
      </c>
      <c r="H99" s="16" t="str">
        <f>IF(A99="","",IF(OR(Clean_Data!D99="",Clean_Data!K99="NO"),"FAIL","PASS"))</f>
        <v/>
      </c>
      <c r="I99" s="16" t="str">
        <f t="shared" si="3"/>
        <v/>
      </c>
      <c r="J99" s="17" t="str">
        <f t="shared" si="4"/>
        <v/>
      </c>
      <c r="K99" s="16" t="str">
        <f t="shared" si="5"/>
        <v/>
      </c>
    </row>
    <row r="100" spans="1:11" x14ac:dyDescent="0.35">
      <c r="A100" s="8" t="str">
        <f>Clean_Data!A100</f>
        <v/>
      </c>
      <c r="B100" s="16" t="str">
        <f>IF(A100="","",IF(Clean_Data!C100="","FAIL","PASS"))</f>
        <v/>
      </c>
      <c r="C100" s="16" t="str">
        <f>IF(A100="","",IF(AND(Clean_Data!C100&lt;&gt;"",Clean_Data!J100="NO"),"FAIL","PASS"))</f>
        <v/>
      </c>
      <c r="D100" s="16" t="str">
        <f>IF(A100="","",IF(Clean_Data!E100="","FAIL","PASS"))</f>
        <v/>
      </c>
      <c r="E100" s="16" t="str">
        <f>IF(A100="","",IF(Clean_Data!G100="","FAIL","PASS"))</f>
        <v/>
      </c>
      <c r="F100" s="16" t="str">
        <f>IF(A100="","",IF(Clean_Data!G100="","OK",IF(Clean_Data!G100&gt;16,"FLAG","OK")))</f>
        <v/>
      </c>
      <c r="G100" s="16" t="str">
        <f>IF(A100="","",IF(Clean_Data!H100="","FAIL","PASS"))</f>
        <v/>
      </c>
      <c r="H100" s="16" t="str">
        <f>IF(A100="","",IF(OR(Clean_Data!D100="",Clean_Data!K100="NO"),"FAIL","PASS"))</f>
        <v/>
      </c>
      <c r="I100" s="16" t="str">
        <f t="shared" si="3"/>
        <v/>
      </c>
      <c r="J100" s="17" t="str">
        <f t="shared" si="4"/>
        <v/>
      </c>
      <c r="K100" s="16" t="str">
        <f t="shared" si="5"/>
        <v/>
      </c>
    </row>
    <row r="101" spans="1:11" x14ac:dyDescent="0.35">
      <c r="A101" s="8" t="str">
        <f>Clean_Data!A101</f>
        <v/>
      </c>
      <c r="B101" s="16" t="str">
        <f>IF(A101="","",IF(Clean_Data!C101="","FAIL","PASS"))</f>
        <v/>
      </c>
      <c r="C101" s="16" t="str">
        <f>IF(A101="","",IF(AND(Clean_Data!C101&lt;&gt;"",Clean_Data!J101="NO"),"FAIL","PASS"))</f>
        <v/>
      </c>
      <c r="D101" s="16" t="str">
        <f>IF(A101="","",IF(Clean_Data!E101="","FAIL","PASS"))</f>
        <v/>
      </c>
      <c r="E101" s="16" t="str">
        <f>IF(A101="","",IF(Clean_Data!G101="","FAIL","PASS"))</f>
        <v/>
      </c>
      <c r="F101" s="16" t="str">
        <f>IF(A101="","",IF(Clean_Data!G101="","OK",IF(Clean_Data!G101&gt;16,"FLAG","OK")))</f>
        <v/>
      </c>
      <c r="G101" s="16" t="str">
        <f>IF(A101="","",IF(Clean_Data!H101="","FAIL","PASS"))</f>
        <v/>
      </c>
      <c r="H101" s="16" t="str">
        <f>IF(A101="","",IF(OR(Clean_Data!D101="",Clean_Data!K101="NO"),"FAIL","PASS"))</f>
        <v/>
      </c>
      <c r="I101" s="16" t="str">
        <f t="shared" si="3"/>
        <v/>
      </c>
      <c r="J101" s="17" t="str">
        <f t="shared" si="4"/>
        <v/>
      </c>
      <c r="K101" s="16" t="str">
        <f t="shared" si="5"/>
        <v/>
      </c>
    </row>
    <row r="102" spans="1:11" x14ac:dyDescent="0.35">
      <c r="A102" s="8" t="str">
        <f>Clean_Data!A102</f>
        <v/>
      </c>
      <c r="B102" s="16" t="str">
        <f>IF(A102="","",IF(Clean_Data!C102="","FAIL","PASS"))</f>
        <v/>
      </c>
      <c r="C102" s="16" t="str">
        <f>IF(A102="","",IF(AND(Clean_Data!C102&lt;&gt;"",Clean_Data!J102="NO"),"FAIL","PASS"))</f>
        <v/>
      </c>
      <c r="D102" s="16" t="str">
        <f>IF(A102="","",IF(Clean_Data!E102="","FAIL","PASS"))</f>
        <v/>
      </c>
      <c r="E102" s="16" t="str">
        <f>IF(A102="","",IF(Clean_Data!G102="","FAIL","PASS"))</f>
        <v/>
      </c>
      <c r="F102" s="16" t="str">
        <f>IF(A102="","",IF(Clean_Data!G102="","OK",IF(Clean_Data!G102&gt;16,"FLAG","OK")))</f>
        <v/>
      </c>
      <c r="G102" s="16" t="str">
        <f>IF(A102="","",IF(Clean_Data!H102="","FAIL","PASS"))</f>
        <v/>
      </c>
      <c r="H102" s="16" t="str">
        <f>IF(A102="","",IF(OR(Clean_Data!D102="",Clean_Data!K102="NO"),"FAIL","PASS"))</f>
        <v/>
      </c>
      <c r="I102" s="16" t="str">
        <f t="shared" si="3"/>
        <v/>
      </c>
      <c r="J102" s="17" t="str">
        <f t="shared" si="4"/>
        <v/>
      </c>
      <c r="K102" s="16" t="str">
        <f t="shared" si="5"/>
        <v/>
      </c>
    </row>
    <row r="103" spans="1:11" x14ac:dyDescent="0.35">
      <c r="A103" s="8" t="str">
        <f>Clean_Data!A103</f>
        <v/>
      </c>
      <c r="B103" s="16" t="str">
        <f>IF(A103="","",IF(Clean_Data!C103="","FAIL","PASS"))</f>
        <v/>
      </c>
      <c r="C103" s="16" t="str">
        <f>IF(A103="","",IF(AND(Clean_Data!C103&lt;&gt;"",Clean_Data!J103="NO"),"FAIL","PASS"))</f>
        <v/>
      </c>
      <c r="D103" s="16" t="str">
        <f>IF(A103="","",IF(Clean_Data!E103="","FAIL","PASS"))</f>
        <v/>
      </c>
      <c r="E103" s="16" t="str">
        <f>IF(A103="","",IF(Clean_Data!G103="","FAIL","PASS"))</f>
        <v/>
      </c>
      <c r="F103" s="16" t="str">
        <f>IF(A103="","",IF(Clean_Data!G103="","OK",IF(Clean_Data!G103&gt;16,"FLAG","OK")))</f>
        <v/>
      </c>
      <c r="G103" s="16" t="str">
        <f>IF(A103="","",IF(Clean_Data!H103="","FAIL","PASS"))</f>
        <v/>
      </c>
      <c r="H103" s="16" t="str">
        <f>IF(A103="","",IF(OR(Clean_Data!D103="",Clean_Data!K103="NO"),"FAIL","PASS"))</f>
        <v/>
      </c>
      <c r="I103" s="16" t="str">
        <f t="shared" si="3"/>
        <v/>
      </c>
      <c r="J103" s="17" t="str">
        <f t="shared" si="4"/>
        <v/>
      </c>
      <c r="K103" s="16" t="str">
        <f t="shared" si="5"/>
        <v/>
      </c>
    </row>
    <row r="104" spans="1:11" x14ac:dyDescent="0.35">
      <c r="A104" s="8" t="str">
        <f>Clean_Data!A104</f>
        <v/>
      </c>
      <c r="B104" s="16" t="str">
        <f>IF(A104="","",IF(Clean_Data!C104="","FAIL","PASS"))</f>
        <v/>
      </c>
      <c r="C104" s="16" t="str">
        <f>IF(A104="","",IF(AND(Clean_Data!C104&lt;&gt;"",Clean_Data!J104="NO"),"FAIL","PASS"))</f>
        <v/>
      </c>
      <c r="D104" s="16" t="str">
        <f>IF(A104="","",IF(Clean_Data!E104="","FAIL","PASS"))</f>
        <v/>
      </c>
      <c r="E104" s="16" t="str">
        <f>IF(A104="","",IF(Clean_Data!G104="","FAIL","PASS"))</f>
        <v/>
      </c>
      <c r="F104" s="16" t="str">
        <f>IF(A104="","",IF(Clean_Data!G104="","OK",IF(Clean_Data!G104&gt;16,"FLAG","OK")))</f>
        <v/>
      </c>
      <c r="G104" s="16" t="str">
        <f>IF(A104="","",IF(Clean_Data!H104="","FAIL","PASS"))</f>
        <v/>
      </c>
      <c r="H104" s="16" t="str">
        <f>IF(A104="","",IF(OR(Clean_Data!D104="",Clean_Data!K104="NO"),"FAIL","PASS"))</f>
        <v/>
      </c>
      <c r="I104" s="16" t="str">
        <f t="shared" si="3"/>
        <v/>
      </c>
      <c r="J104" s="17" t="str">
        <f t="shared" si="4"/>
        <v/>
      </c>
      <c r="K104" s="16" t="str">
        <f t="shared" si="5"/>
        <v/>
      </c>
    </row>
    <row r="105" spans="1:11" x14ac:dyDescent="0.35">
      <c r="A105" s="8" t="str">
        <f>Clean_Data!A105</f>
        <v/>
      </c>
      <c r="B105" s="16" t="str">
        <f>IF(A105="","",IF(Clean_Data!C105="","FAIL","PASS"))</f>
        <v/>
      </c>
      <c r="C105" s="16" t="str">
        <f>IF(A105="","",IF(AND(Clean_Data!C105&lt;&gt;"",Clean_Data!J105="NO"),"FAIL","PASS"))</f>
        <v/>
      </c>
      <c r="D105" s="16" t="str">
        <f>IF(A105="","",IF(Clean_Data!E105="","FAIL","PASS"))</f>
        <v/>
      </c>
      <c r="E105" s="16" t="str">
        <f>IF(A105="","",IF(Clean_Data!G105="","FAIL","PASS"))</f>
        <v/>
      </c>
      <c r="F105" s="16" t="str">
        <f>IF(A105="","",IF(Clean_Data!G105="","OK",IF(Clean_Data!G105&gt;16,"FLAG","OK")))</f>
        <v/>
      </c>
      <c r="G105" s="16" t="str">
        <f>IF(A105="","",IF(Clean_Data!H105="","FAIL","PASS"))</f>
        <v/>
      </c>
      <c r="H105" s="16" t="str">
        <f>IF(A105="","",IF(OR(Clean_Data!D105="",Clean_Data!K105="NO"),"FAIL","PASS"))</f>
        <v/>
      </c>
      <c r="I105" s="16" t="str">
        <f t="shared" si="3"/>
        <v/>
      </c>
      <c r="J105" s="17" t="str">
        <f t="shared" si="4"/>
        <v/>
      </c>
      <c r="K105" s="16" t="str">
        <f t="shared" si="5"/>
        <v/>
      </c>
    </row>
    <row r="106" spans="1:11" x14ac:dyDescent="0.35">
      <c r="A106" s="8" t="str">
        <f>Clean_Data!A106</f>
        <v/>
      </c>
      <c r="B106" s="16" t="str">
        <f>IF(A106="","",IF(Clean_Data!C106="","FAIL","PASS"))</f>
        <v/>
      </c>
      <c r="C106" s="16" t="str">
        <f>IF(A106="","",IF(AND(Clean_Data!C106&lt;&gt;"",Clean_Data!J106="NO"),"FAIL","PASS"))</f>
        <v/>
      </c>
      <c r="D106" s="16" t="str">
        <f>IF(A106="","",IF(Clean_Data!E106="","FAIL","PASS"))</f>
        <v/>
      </c>
      <c r="E106" s="16" t="str">
        <f>IF(A106="","",IF(Clean_Data!G106="","FAIL","PASS"))</f>
        <v/>
      </c>
      <c r="F106" s="16" t="str">
        <f>IF(A106="","",IF(Clean_Data!G106="","OK",IF(Clean_Data!G106&gt;16,"FLAG","OK")))</f>
        <v/>
      </c>
      <c r="G106" s="16" t="str">
        <f>IF(A106="","",IF(Clean_Data!H106="","FAIL","PASS"))</f>
        <v/>
      </c>
      <c r="H106" s="16" t="str">
        <f>IF(A106="","",IF(OR(Clean_Data!D106="",Clean_Data!K106="NO"),"FAIL","PASS"))</f>
        <v/>
      </c>
      <c r="I106" s="16" t="str">
        <f t="shared" si="3"/>
        <v/>
      </c>
      <c r="J106" s="17" t="str">
        <f t="shared" si="4"/>
        <v/>
      </c>
      <c r="K106" s="16" t="str">
        <f t="shared" si="5"/>
        <v/>
      </c>
    </row>
    <row r="107" spans="1:11" x14ac:dyDescent="0.35">
      <c r="A107" s="8" t="str">
        <f>Clean_Data!A107</f>
        <v/>
      </c>
      <c r="B107" s="16" t="str">
        <f>IF(A107="","",IF(Clean_Data!C107="","FAIL","PASS"))</f>
        <v/>
      </c>
      <c r="C107" s="16" t="str">
        <f>IF(A107="","",IF(AND(Clean_Data!C107&lt;&gt;"",Clean_Data!J107="NO"),"FAIL","PASS"))</f>
        <v/>
      </c>
      <c r="D107" s="16" t="str">
        <f>IF(A107="","",IF(Clean_Data!E107="","FAIL","PASS"))</f>
        <v/>
      </c>
      <c r="E107" s="16" t="str">
        <f>IF(A107="","",IF(Clean_Data!G107="","FAIL","PASS"))</f>
        <v/>
      </c>
      <c r="F107" s="16" t="str">
        <f>IF(A107="","",IF(Clean_Data!G107="","OK",IF(Clean_Data!G107&gt;16,"FLAG","OK")))</f>
        <v/>
      </c>
      <c r="G107" s="16" t="str">
        <f>IF(A107="","",IF(Clean_Data!H107="","FAIL","PASS"))</f>
        <v/>
      </c>
      <c r="H107" s="16" t="str">
        <f>IF(A107="","",IF(OR(Clean_Data!D107="",Clean_Data!K107="NO"),"FAIL","PASS"))</f>
        <v/>
      </c>
      <c r="I107" s="16" t="str">
        <f t="shared" si="3"/>
        <v/>
      </c>
      <c r="J107" s="17" t="str">
        <f t="shared" si="4"/>
        <v/>
      </c>
      <c r="K107" s="16" t="str">
        <f t="shared" si="5"/>
        <v/>
      </c>
    </row>
    <row r="108" spans="1:11" x14ac:dyDescent="0.35">
      <c r="A108" s="8" t="str">
        <f>Clean_Data!A108</f>
        <v/>
      </c>
      <c r="B108" s="16" t="str">
        <f>IF(A108="","",IF(Clean_Data!C108="","FAIL","PASS"))</f>
        <v/>
      </c>
      <c r="C108" s="16" t="str">
        <f>IF(A108="","",IF(AND(Clean_Data!C108&lt;&gt;"",Clean_Data!J108="NO"),"FAIL","PASS"))</f>
        <v/>
      </c>
      <c r="D108" s="16" t="str">
        <f>IF(A108="","",IF(Clean_Data!E108="","FAIL","PASS"))</f>
        <v/>
      </c>
      <c r="E108" s="16" t="str">
        <f>IF(A108="","",IF(Clean_Data!G108="","FAIL","PASS"))</f>
        <v/>
      </c>
      <c r="F108" s="16" t="str">
        <f>IF(A108="","",IF(Clean_Data!G108="","OK",IF(Clean_Data!G108&gt;16,"FLAG","OK")))</f>
        <v/>
      </c>
      <c r="G108" s="16" t="str">
        <f>IF(A108="","",IF(Clean_Data!H108="","FAIL","PASS"))</f>
        <v/>
      </c>
      <c r="H108" s="16" t="str">
        <f>IF(A108="","",IF(OR(Clean_Data!D108="",Clean_Data!K108="NO"),"FAIL","PASS"))</f>
        <v/>
      </c>
      <c r="I108" s="16" t="str">
        <f t="shared" si="3"/>
        <v/>
      </c>
      <c r="J108" s="17" t="str">
        <f t="shared" si="4"/>
        <v/>
      </c>
      <c r="K108" s="16" t="str">
        <f t="shared" si="5"/>
        <v/>
      </c>
    </row>
    <row r="109" spans="1:11" x14ac:dyDescent="0.35">
      <c r="A109" s="8" t="str">
        <f>Clean_Data!A109</f>
        <v/>
      </c>
      <c r="B109" s="16" t="str">
        <f>IF(A109="","",IF(Clean_Data!C109="","FAIL","PASS"))</f>
        <v/>
      </c>
      <c r="C109" s="16" t="str">
        <f>IF(A109="","",IF(AND(Clean_Data!C109&lt;&gt;"",Clean_Data!J109="NO"),"FAIL","PASS"))</f>
        <v/>
      </c>
      <c r="D109" s="16" t="str">
        <f>IF(A109="","",IF(Clean_Data!E109="","FAIL","PASS"))</f>
        <v/>
      </c>
      <c r="E109" s="16" t="str">
        <f>IF(A109="","",IF(Clean_Data!G109="","FAIL","PASS"))</f>
        <v/>
      </c>
      <c r="F109" s="16" t="str">
        <f>IF(A109="","",IF(Clean_Data!G109="","OK",IF(Clean_Data!G109&gt;16,"FLAG","OK")))</f>
        <v/>
      </c>
      <c r="G109" s="16" t="str">
        <f>IF(A109="","",IF(Clean_Data!H109="","FAIL","PASS"))</f>
        <v/>
      </c>
      <c r="H109" s="16" t="str">
        <f>IF(A109="","",IF(OR(Clean_Data!D109="",Clean_Data!K109="NO"),"FAIL","PASS"))</f>
        <v/>
      </c>
      <c r="I109" s="16" t="str">
        <f t="shared" si="3"/>
        <v/>
      </c>
      <c r="J109" s="17" t="str">
        <f t="shared" si="4"/>
        <v/>
      </c>
      <c r="K109" s="16" t="str">
        <f t="shared" si="5"/>
        <v/>
      </c>
    </row>
    <row r="110" spans="1:11" x14ac:dyDescent="0.35">
      <c r="A110" s="8" t="str">
        <f>Clean_Data!A110</f>
        <v/>
      </c>
      <c r="B110" s="16" t="str">
        <f>IF(A110="","",IF(Clean_Data!C110="","FAIL","PASS"))</f>
        <v/>
      </c>
      <c r="C110" s="16" t="str">
        <f>IF(A110="","",IF(AND(Clean_Data!C110&lt;&gt;"",Clean_Data!J110="NO"),"FAIL","PASS"))</f>
        <v/>
      </c>
      <c r="D110" s="16" t="str">
        <f>IF(A110="","",IF(Clean_Data!E110="","FAIL","PASS"))</f>
        <v/>
      </c>
      <c r="E110" s="16" t="str">
        <f>IF(A110="","",IF(Clean_Data!G110="","FAIL","PASS"))</f>
        <v/>
      </c>
      <c r="F110" s="16" t="str">
        <f>IF(A110="","",IF(Clean_Data!G110="","OK",IF(Clean_Data!G110&gt;16,"FLAG","OK")))</f>
        <v/>
      </c>
      <c r="G110" s="16" t="str">
        <f>IF(A110="","",IF(Clean_Data!H110="","FAIL","PASS"))</f>
        <v/>
      </c>
      <c r="H110" s="16" t="str">
        <f>IF(A110="","",IF(OR(Clean_Data!D110="",Clean_Data!K110="NO"),"FAIL","PASS"))</f>
        <v/>
      </c>
      <c r="I110" s="16" t="str">
        <f t="shared" si="3"/>
        <v/>
      </c>
      <c r="J110" s="17" t="str">
        <f t="shared" si="4"/>
        <v/>
      </c>
      <c r="K110" s="16" t="str">
        <f t="shared" si="5"/>
        <v/>
      </c>
    </row>
    <row r="111" spans="1:11" x14ac:dyDescent="0.35">
      <c r="A111" s="8" t="str">
        <f>Clean_Data!A111</f>
        <v/>
      </c>
      <c r="B111" s="16" t="str">
        <f>IF(A111="","",IF(Clean_Data!C111="","FAIL","PASS"))</f>
        <v/>
      </c>
      <c r="C111" s="16" t="str">
        <f>IF(A111="","",IF(AND(Clean_Data!C111&lt;&gt;"",Clean_Data!J111="NO"),"FAIL","PASS"))</f>
        <v/>
      </c>
      <c r="D111" s="16" t="str">
        <f>IF(A111="","",IF(Clean_Data!E111="","FAIL","PASS"))</f>
        <v/>
      </c>
      <c r="E111" s="16" t="str">
        <f>IF(A111="","",IF(Clean_Data!G111="","FAIL","PASS"))</f>
        <v/>
      </c>
      <c r="F111" s="16" t="str">
        <f>IF(A111="","",IF(Clean_Data!G111="","OK",IF(Clean_Data!G111&gt;16,"FLAG","OK")))</f>
        <v/>
      </c>
      <c r="G111" s="16" t="str">
        <f>IF(A111="","",IF(Clean_Data!H111="","FAIL","PASS"))</f>
        <v/>
      </c>
      <c r="H111" s="16" t="str">
        <f>IF(A111="","",IF(OR(Clean_Data!D111="",Clean_Data!K111="NO"),"FAIL","PASS"))</f>
        <v/>
      </c>
      <c r="I111" s="16" t="str">
        <f t="shared" si="3"/>
        <v/>
      </c>
      <c r="J111" s="17" t="str">
        <f t="shared" si="4"/>
        <v/>
      </c>
      <c r="K111" s="16" t="str">
        <f t="shared" si="5"/>
        <v/>
      </c>
    </row>
    <row r="112" spans="1:11" x14ac:dyDescent="0.35">
      <c r="A112" s="8" t="str">
        <f>Clean_Data!A112</f>
        <v/>
      </c>
      <c r="B112" s="16" t="str">
        <f>IF(A112="","",IF(Clean_Data!C112="","FAIL","PASS"))</f>
        <v/>
      </c>
      <c r="C112" s="16" t="str">
        <f>IF(A112="","",IF(AND(Clean_Data!C112&lt;&gt;"",Clean_Data!J112="NO"),"FAIL","PASS"))</f>
        <v/>
      </c>
      <c r="D112" s="16" t="str">
        <f>IF(A112="","",IF(Clean_Data!E112="","FAIL","PASS"))</f>
        <v/>
      </c>
      <c r="E112" s="16" t="str">
        <f>IF(A112="","",IF(Clean_Data!G112="","FAIL","PASS"))</f>
        <v/>
      </c>
      <c r="F112" s="16" t="str">
        <f>IF(A112="","",IF(Clean_Data!G112="","OK",IF(Clean_Data!G112&gt;16,"FLAG","OK")))</f>
        <v/>
      </c>
      <c r="G112" s="16" t="str">
        <f>IF(A112="","",IF(Clean_Data!H112="","FAIL","PASS"))</f>
        <v/>
      </c>
      <c r="H112" s="16" t="str">
        <f>IF(A112="","",IF(OR(Clean_Data!D112="",Clean_Data!K112="NO"),"FAIL","PASS"))</f>
        <v/>
      </c>
      <c r="I112" s="16" t="str">
        <f t="shared" si="3"/>
        <v/>
      </c>
      <c r="J112" s="17" t="str">
        <f t="shared" si="4"/>
        <v/>
      </c>
      <c r="K112" s="16" t="str">
        <f t="shared" si="5"/>
        <v/>
      </c>
    </row>
    <row r="113" spans="1:11" x14ac:dyDescent="0.35">
      <c r="A113" s="8" t="str">
        <f>Clean_Data!A113</f>
        <v/>
      </c>
      <c r="B113" s="16" t="str">
        <f>IF(A113="","",IF(Clean_Data!C113="","FAIL","PASS"))</f>
        <v/>
      </c>
      <c r="C113" s="16" t="str">
        <f>IF(A113="","",IF(AND(Clean_Data!C113&lt;&gt;"",Clean_Data!J113="NO"),"FAIL","PASS"))</f>
        <v/>
      </c>
      <c r="D113" s="16" t="str">
        <f>IF(A113="","",IF(Clean_Data!E113="","FAIL","PASS"))</f>
        <v/>
      </c>
      <c r="E113" s="16" t="str">
        <f>IF(A113="","",IF(Clean_Data!G113="","FAIL","PASS"))</f>
        <v/>
      </c>
      <c r="F113" s="16" t="str">
        <f>IF(A113="","",IF(Clean_Data!G113="","OK",IF(Clean_Data!G113&gt;16,"FLAG","OK")))</f>
        <v/>
      </c>
      <c r="G113" s="16" t="str">
        <f>IF(A113="","",IF(Clean_Data!H113="","FAIL","PASS"))</f>
        <v/>
      </c>
      <c r="H113" s="16" t="str">
        <f>IF(A113="","",IF(OR(Clean_Data!D113="",Clean_Data!K113="NO"),"FAIL","PASS"))</f>
        <v/>
      </c>
      <c r="I113" s="16" t="str">
        <f t="shared" si="3"/>
        <v/>
      </c>
      <c r="J113" s="17" t="str">
        <f t="shared" si="4"/>
        <v/>
      </c>
      <c r="K113" s="16" t="str">
        <f t="shared" si="5"/>
        <v/>
      </c>
    </row>
    <row r="114" spans="1:11" x14ac:dyDescent="0.35">
      <c r="A114" s="8" t="str">
        <f>Clean_Data!A114</f>
        <v/>
      </c>
      <c r="B114" s="16" t="str">
        <f>IF(A114="","",IF(Clean_Data!C114="","FAIL","PASS"))</f>
        <v/>
      </c>
      <c r="C114" s="16" t="str">
        <f>IF(A114="","",IF(AND(Clean_Data!C114&lt;&gt;"",Clean_Data!J114="NO"),"FAIL","PASS"))</f>
        <v/>
      </c>
      <c r="D114" s="16" t="str">
        <f>IF(A114="","",IF(Clean_Data!E114="","FAIL","PASS"))</f>
        <v/>
      </c>
      <c r="E114" s="16" t="str">
        <f>IF(A114="","",IF(Clean_Data!G114="","FAIL","PASS"))</f>
        <v/>
      </c>
      <c r="F114" s="16" t="str">
        <f>IF(A114="","",IF(Clean_Data!G114="","OK",IF(Clean_Data!G114&gt;16,"FLAG","OK")))</f>
        <v/>
      </c>
      <c r="G114" s="16" t="str">
        <f>IF(A114="","",IF(Clean_Data!H114="","FAIL","PASS"))</f>
        <v/>
      </c>
      <c r="H114" s="16" t="str">
        <f>IF(A114="","",IF(OR(Clean_Data!D114="",Clean_Data!K114="NO"),"FAIL","PASS"))</f>
        <v/>
      </c>
      <c r="I114" s="16" t="str">
        <f t="shared" si="3"/>
        <v/>
      </c>
      <c r="J114" s="17" t="str">
        <f t="shared" si="4"/>
        <v/>
      </c>
      <c r="K114" s="16" t="str">
        <f t="shared" si="5"/>
        <v/>
      </c>
    </row>
    <row r="115" spans="1:11" x14ac:dyDescent="0.35">
      <c r="A115" s="8" t="str">
        <f>Clean_Data!A115</f>
        <v/>
      </c>
      <c r="B115" s="16" t="str">
        <f>IF(A115="","",IF(Clean_Data!C115="","FAIL","PASS"))</f>
        <v/>
      </c>
      <c r="C115" s="16" t="str">
        <f>IF(A115="","",IF(AND(Clean_Data!C115&lt;&gt;"",Clean_Data!J115="NO"),"FAIL","PASS"))</f>
        <v/>
      </c>
      <c r="D115" s="16" t="str">
        <f>IF(A115="","",IF(Clean_Data!E115="","FAIL","PASS"))</f>
        <v/>
      </c>
      <c r="E115" s="16" t="str">
        <f>IF(A115="","",IF(Clean_Data!G115="","FAIL","PASS"))</f>
        <v/>
      </c>
      <c r="F115" s="16" t="str">
        <f>IF(A115="","",IF(Clean_Data!G115="","OK",IF(Clean_Data!G115&gt;16,"FLAG","OK")))</f>
        <v/>
      </c>
      <c r="G115" s="16" t="str">
        <f>IF(A115="","",IF(Clean_Data!H115="","FAIL","PASS"))</f>
        <v/>
      </c>
      <c r="H115" s="16" t="str">
        <f>IF(A115="","",IF(OR(Clean_Data!D115="",Clean_Data!K115="NO"),"FAIL","PASS"))</f>
        <v/>
      </c>
      <c r="I115" s="16" t="str">
        <f t="shared" si="3"/>
        <v/>
      </c>
      <c r="J115" s="17" t="str">
        <f t="shared" si="4"/>
        <v/>
      </c>
      <c r="K115" s="16" t="str">
        <f t="shared" si="5"/>
        <v/>
      </c>
    </row>
    <row r="116" spans="1:11" x14ac:dyDescent="0.35">
      <c r="A116" s="8" t="str">
        <f>Clean_Data!A116</f>
        <v/>
      </c>
      <c r="B116" s="16" t="str">
        <f>IF(A116="","",IF(Clean_Data!C116="","FAIL","PASS"))</f>
        <v/>
      </c>
      <c r="C116" s="16" t="str">
        <f>IF(A116="","",IF(AND(Clean_Data!C116&lt;&gt;"",Clean_Data!J116="NO"),"FAIL","PASS"))</f>
        <v/>
      </c>
      <c r="D116" s="16" t="str">
        <f>IF(A116="","",IF(Clean_Data!E116="","FAIL","PASS"))</f>
        <v/>
      </c>
      <c r="E116" s="16" t="str">
        <f>IF(A116="","",IF(Clean_Data!G116="","FAIL","PASS"))</f>
        <v/>
      </c>
      <c r="F116" s="16" t="str">
        <f>IF(A116="","",IF(Clean_Data!G116="","OK",IF(Clean_Data!G116&gt;16,"FLAG","OK")))</f>
        <v/>
      </c>
      <c r="G116" s="16" t="str">
        <f>IF(A116="","",IF(Clean_Data!H116="","FAIL","PASS"))</f>
        <v/>
      </c>
      <c r="H116" s="16" t="str">
        <f>IF(A116="","",IF(OR(Clean_Data!D116="",Clean_Data!K116="NO"),"FAIL","PASS"))</f>
        <v/>
      </c>
      <c r="I116" s="16" t="str">
        <f t="shared" si="3"/>
        <v/>
      </c>
      <c r="J116" s="17" t="str">
        <f t="shared" si="4"/>
        <v/>
      </c>
      <c r="K116" s="16" t="str">
        <f t="shared" si="5"/>
        <v/>
      </c>
    </row>
    <row r="117" spans="1:11" x14ac:dyDescent="0.35">
      <c r="A117" s="8" t="str">
        <f>Clean_Data!A117</f>
        <v/>
      </c>
      <c r="B117" s="16" t="str">
        <f>IF(A117="","",IF(Clean_Data!C117="","FAIL","PASS"))</f>
        <v/>
      </c>
      <c r="C117" s="16" t="str">
        <f>IF(A117="","",IF(AND(Clean_Data!C117&lt;&gt;"",Clean_Data!J117="NO"),"FAIL","PASS"))</f>
        <v/>
      </c>
      <c r="D117" s="16" t="str">
        <f>IF(A117="","",IF(Clean_Data!E117="","FAIL","PASS"))</f>
        <v/>
      </c>
      <c r="E117" s="16" t="str">
        <f>IF(A117="","",IF(Clean_Data!G117="","FAIL","PASS"))</f>
        <v/>
      </c>
      <c r="F117" s="16" t="str">
        <f>IF(A117="","",IF(Clean_Data!G117="","OK",IF(Clean_Data!G117&gt;16,"FLAG","OK")))</f>
        <v/>
      </c>
      <c r="G117" s="16" t="str">
        <f>IF(A117="","",IF(Clean_Data!H117="","FAIL","PASS"))</f>
        <v/>
      </c>
      <c r="H117" s="16" t="str">
        <f>IF(A117="","",IF(OR(Clean_Data!D117="",Clean_Data!K117="NO"),"FAIL","PASS"))</f>
        <v/>
      </c>
      <c r="I117" s="16" t="str">
        <f t="shared" si="3"/>
        <v/>
      </c>
      <c r="J117" s="17" t="str">
        <f t="shared" si="4"/>
        <v/>
      </c>
      <c r="K117" s="16" t="str">
        <f t="shared" si="5"/>
        <v/>
      </c>
    </row>
    <row r="118" spans="1:11" x14ac:dyDescent="0.35">
      <c r="A118" s="8" t="str">
        <f>Clean_Data!A118</f>
        <v/>
      </c>
      <c r="B118" s="16" t="str">
        <f>IF(A118="","",IF(Clean_Data!C118="","FAIL","PASS"))</f>
        <v/>
      </c>
      <c r="C118" s="16" t="str">
        <f>IF(A118="","",IF(AND(Clean_Data!C118&lt;&gt;"",Clean_Data!J118="NO"),"FAIL","PASS"))</f>
        <v/>
      </c>
      <c r="D118" s="16" t="str">
        <f>IF(A118="","",IF(Clean_Data!E118="","FAIL","PASS"))</f>
        <v/>
      </c>
      <c r="E118" s="16" t="str">
        <f>IF(A118="","",IF(Clean_Data!G118="","FAIL","PASS"))</f>
        <v/>
      </c>
      <c r="F118" s="16" t="str">
        <f>IF(A118="","",IF(Clean_Data!G118="","OK",IF(Clean_Data!G118&gt;16,"FLAG","OK")))</f>
        <v/>
      </c>
      <c r="G118" s="16" t="str">
        <f>IF(A118="","",IF(Clean_Data!H118="","FAIL","PASS"))</f>
        <v/>
      </c>
      <c r="H118" s="16" t="str">
        <f>IF(A118="","",IF(OR(Clean_Data!D118="",Clean_Data!K118="NO"),"FAIL","PASS"))</f>
        <v/>
      </c>
      <c r="I118" s="16" t="str">
        <f t="shared" si="3"/>
        <v/>
      </c>
      <c r="J118" s="17" t="str">
        <f t="shared" si="4"/>
        <v/>
      </c>
      <c r="K118" s="16" t="str">
        <f t="shared" si="5"/>
        <v/>
      </c>
    </row>
    <row r="119" spans="1:11" x14ac:dyDescent="0.35">
      <c r="A119" s="8" t="str">
        <f>Clean_Data!A119</f>
        <v/>
      </c>
      <c r="B119" s="16" t="str">
        <f>IF(A119="","",IF(Clean_Data!C119="","FAIL","PASS"))</f>
        <v/>
      </c>
      <c r="C119" s="16" t="str">
        <f>IF(A119="","",IF(AND(Clean_Data!C119&lt;&gt;"",Clean_Data!J119="NO"),"FAIL","PASS"))</f>
        <v/>
      </c>
      <c r="D119" s="16" t="str">
        <f>IF(A119="","",IF(Clean_Data!E119="","FAIL","PASS"))</f>
        <v/>
      </c>
      <c r="E119" s="16" t="str">
        <f>IF(A119="","",IF(Clean_Data!G119="","FAIL","PASS"))</f>
        <v/>
      </c>
      <c r="F119" s="16" t="str">
        <f>IF(A119="","",IF(Clean_Data!G119="","OK",IF(Clean_Data!G119&gt;16,"FLAG","OK")))</f>
        <v/>
      </c>
      <c r="G119" s="16" t="str">
        <f>IF(A119="","",IF(Clean_Data!H119="","FAIL","PASS"))</f>
        <v/>
      </c>
      <c r="H119" s="16" t="str">
        <f>IF(A119="","",IF(OR(Clean_Data!D119="",Clean_Data!K119="NO"),"FAIL","PASS"))</f>
        <v/>
      </c>
      <c r="I119" s="16" t="str">
        <f t="shared" si="3"/>
        <v/>
      </c>
      <c r="J119" s="17" t="str">
        <f t="shared" si="4"/>
        <v/>
      </c>
      <c r="K119" s="16" t="str">
        <f t="shared" si="5"/>
        <v/>
      </c>
    </row>
    <row r="120" spans="1:11" x14ac:dyDescent="0.35">
      <c r="A120" s="8" t="str">
        <f>Clean_Data!A120</f>
        <v/>
      </c>
      <c r="B120" s="16" t="str">
        <f>IF(A120="","",IF(Clean_Data!C120="","FAIL","PASS"))</f>
        <v/>
      </c>
      <c r="C120" s="16" t="str">
        <f>IF(A120="","",IF(AND(Clean_Data!C120&lt;&gt;"",Clean_Data!J120="NO"),"FAIL","PASS"))</f>
        <v/>
      </c>
      <c r="D120" s="16" t="str">
        <f>IF(A120="","",IF(Clean_Data!E120="","FAIL","PASS"))</f>
        <v/>
      </c>
      <c r="E120" s="16" t="str">
        <f>IF(A120="","",IF(Clean_Data!G120="","FAIL","PASS"))</f>
        <v/>
      </c>
      <c r="F120" s="16" t="str">
        <f>IF(A120="","",IF(Clean_Data!G120="","OK",IF(Clean_Data!G120&gt;16,"FLAG","OK")))</f>
        <v/>
      </c>
      <c r="G120" s="16" t="str">
        <f>IF(A120="","",IF(Clean_Data!H120="","FAIL","PASS"))</f>
        <v/>
      </c>
      <c r="H120" s="16" t="str">
        <f>IF(A120="","",IF(OR(Clean_Data!D120="",Clean_Data!K120="NO"),"FAIL","PASS"))</f>
        <v/>
      </c>
      <c r="I120" s="16" t="str">
        <f t="shared" si="3"/>
        <v/>
      </c>
      <c r="J120" s="17" t="str">
        <f t="shared" si="4"/>
        <v/>
      </c>
      <c r="K120" s="16" t="str">
        <f t="shared" si="5"/>
        <v/>
      </c>
    </row>
    <row r="121" spans="1:11" x14ac:dyDescent="0.35">
      <c r="A121" s="8" t="str">
        <f>Clean_Data!A121</f>
        <v/>
      </c>
      <c r="B121" s="16" t="str">
        <f>IF(A121="","",IF(Clean_Data!C121="","FAIL","PASS"))</f>
        <v/>
      </c>
      <c r="C121" s="16" t="str">
        <f>IF(A121="","",IF(AND(Clean_Data!C121&lt;&gt;"",Clean_Data!J121="NO"),"FAIL","PASS"))</f>
        <v/>
      </c>
      <c r="D121" s="16" t="str">
        <f>IF(A121="","",IF(Clean_Data!E121="","FAIL","PASS"))</f>
        <v/>
      </c>
      <c r="E121" s="16" t="str">
        <f>IF(A121="","",IF(Clean_Data!G121="","FAIL","PASS"))</f>
        <v/>
      </c>
      <c r="F121" s="16" t="str">
        <f>IF(A121="","",IF(Clean_Data!G121="","OK",IF(Clean_Data!G121&gt;16,"FLAG","OK")))</f>
        <v/>
      </c>
      <c r="G121" s="16" t="str">
        <f>IF(A121="","",IF(Clean_Data!H121="","FAIL","PASS"))</f>
        <v/>
      </c>
      <c r="H121" s="16" t="str">
        <f>IF(A121="","",IF(OR(Clean_Data!D121="",Clean_Data!K121="NO"),"FAIL","PASS"))</f>
        <v/>
      </c>
      <c r="I121" s="16" t="str">
        <f t="shared" si="3"/>
        <v/>
      </c>
      <c r="J121" s="17" t="str">
        <f t="shared" si="4"/>
        <v/>
      </c>
      <c r="K121" s="16" t="str">
        <f t="shared" si="5"/>
        <v/>
      </c>
    </row>
    <row r="122" spans="1:11" x14ac:dyDescent="0.35">
      <c r="A122" s="8" t="str">
        <f>Clean_Data!A122</f>
        <v/>
      </c>
      <c r="B122" s="16" t="str">
        <f>IF(A122="","",IF(Clean_Data!C122="","FAIL","PASS"))</f>
        <v/>
      </c>
      <c r="C122" s="16" t="str">
        <f>IF(A122="","",IF(AND(Clean_Data!C122&lt;&gt;"",Clean_Data!J122="NO"),"FAIL","PASS"))</f>
        <v/>
      </c>
      <c r="D122" s="16" t="str">
        <f>IF(A122="","",IF(Clean_Data!E122="","FAIL","PASS"))</f>
        <v/>
      </c>
      <c r="E122" s="16" t="str">
        <f>IF(A122="","",IF(Clean_Data!G122="","FAIL","PASS"))</f>
        <v/>
      </c>
      <c r="F122" s="16" t="str">
        <f>IF(A122="","",IF(Clean_Data!G122="","OK",IF(Clean_Data!G122&gt;16,"FLAG","OK")))</f>
        <v/>
      </c>
      <c r="G122" s="16" t="str">
        <f>IF(A122="","",IF(Clean_Data!H122="","FAIL","PASS"))</f>
        <v/>
      </c>
      <c r="H122" s="16" t="str">
        <f>IF(A122="","",IF(OR(Clean_Data!D122="",Clean_Data!K122="NO"),"FAIL","PASS"))</f>
        <v/>
      </c>
      <c r="I122" s="16" t="str">
        <f t="shared" si="3"/>
        <v/>
      </c>
      <c r="J122" s="17" t="str">
        <f t="shared" si="4"/>
        <v/>
      </c>
      <c r="K122" s="16" t="str">
        <f t="shared" si="5"/>
        <v/>
      </c>
    </row>
    <row r="123" spans="1:11" x14ac:dyDescent="0.35">
      <c r="A123" s="8" t="str">
        <f>Clean_Data!A123</f>
        <v/>
      </c>
      <c r="B123" s="16" t="str">
        <f>IF(A123="","",IF(Clean_Data!C123="","FAIL","PASS"))</f>
        <v/>
      </c>
      <c r="C123" s="16" t="str">
        <f>IF(A123="","",IF(AND(Clean_Data!C123&lt;&gt;"",Clean_Data!J123="NO"),"FAIL","PASS"))</f>
        <v/>
      </c>
      <c r="D123" s="16" t="str">
        <f>IF(A123="","",IF(Clean_Data!E123="","FAIL","PASS"))</f>
        <v/>
      </c>
      <c r="E123" s="16" t="str">
        <f>IF(A123="","",IF(Clean_Data!G123="","FAIL","PASS"))</f>
        <v/>
      </c>
      <c r="F123" s="16" t="str">
        <f>IF(A123="","",IF(Clean_Data!G123="","OK",IF(Clean_Data!G123&gt;16,"FLAG","OK")))</f>
        <v/>
      </c>
      <c r="G123" s="16" t="str">
        <f>IF(A123="","",IF(Clean_Data!H123="","FAIL","PASS"))</f>
        <v/>
      </c>
      <c r="H123" s="16" t="str">
        <f>IF(A123="","",IF(OR(Clean_Data!D123="",Clean_Data!K123="NO"),"FAIL","PASS"))</f>
        <v/>
      </c>
      <c r="I123" s="16" t="str">
        <f t="shared" si="3"/>
        <v/>
      </c>
      <c r="J123" s="17" t="str">
        <f t="shared" si="4"/>
        <v/>
      </c>
      <c r="K123" s="16" t="str">
        <f t="shared" si="5"/>
        <v/>
      </c>
    </row>
    <row r="124" spans="1:11" x14ac:dyDescent="0.35">
      <c r="A124" s="8" t="str">
        <f>Clean_Data!A124</f>
        <v/>
      </c>
      <c r="B124" s="16" t="str">
        <f>IF(A124="","",IF(Clean_Data!C124="","FAIL","PASS"))</f>
        <v/>
      </c>
      <c r="C124" s="16" t="str">
        <f>IF(A124="","",IF(AND(Clean_Data!C124&lt;&gt;"",Clean_Data!J124="NO"),"FAIL","PASS"))</f>
        <v/>
      </c>
      <c r="D124" s="16" t="str">
        <f>IF(A124="","",IF(Clean_Data!E124="","FAIL","PASS"))</f>
        <v/>
      </c>
      <c r="E124" s="16" t="str">
        <f>IF(A124="","",IF(Clean_Data!G124="","FAIL","PASS"))</f>
        <v/>
      </c>
      <c r="F124" s="16" t="str">
        <f>IF(A124="","",IF(Clean_Data!G124="","OK",IF(Clean_Data!G124&gt;16,"FLAG","OK")))</f>
        <v/>
      </c>
      <c r="G124" s="16" t="str">
        <f>IF(A124="","",IF(Clean_Data!H124="","FAIL","PASS"))</f>
        <v/>
      </c>
      <c r="H124" s="16" t="str">
        <f>IF(A124="","",IF(OR(Clean_Data!D124="",Clean_Data!K124="NO"),"FAIL","PASS"))</f>
        <v/>
      </c>
      <c r="I124" s="16" t="str">
        <f t="shared" si="3"/>
        <v/>
      </c>
      <c r="J124" s="17" t="str">
        <f t="shared" si="4"/>
        <v/>
      </c>
      <c r="K124" s="16" t="str">
        <f t="shared" si="5"/>
        <v/>
      </c>
    </row>
    <row r="125" spans="1:11" x14ac:dyDescent="0.35">
      <c r="A125" s="8" t="str">
        <f>Clean_Data!A125</f>
        <v/>
      </c>
      <c r="B125" s="16" t="str">
        <f>IF(A125="","",IF(Clean_Data!C125="","FAIL","PASS"))</f>
        <v/>
      </c>
      <c r="C125" s="16" t="str">
        <f>IF(A125="","",IF(AND(Clean_Data!C125&lt;&gt;"",Clean_Data!J125="NO"),"FAIL","PASS"))</f>
        <v/>
      </c>
      <c r="D125" s="16" t="str">
        <f>IF(A125="","",IF(Clean_Data!E125="","FAIL","PASS"))</f>
        <v/>
      </c>
      <c r="E125" s="16" t="str">
        <f>IF(A125="","",IF(Clean_Data!G125="","FAIL","PASS"))</f>
        <v/>
      </c>
      <c r="F125" s="16" t="str">
        <f>IF(A125="","",IF(Clean_Data!G125="","OK",IF(Clean_Data!G125&gt;16,"FLAG","OK")))</f>
        <v/>
      </c>
      <c r="G125" s="16" t="str">
        <f>IF(A125="","",IF(Clean_Data!H125="","FAIL","PASS"))</f>
        <v/>
      </c>
      <c r="H125" s="16" t="str">
        <f>IF(A125="","",IF(OR(Clean_Data!D125="",Clean_Data!K125="NO"),"FAIL","PASS"))</f>
        <v/>
      </c>
      <c r="I125" s="16" t="str">
        <f t="shared" si="3"/>
        <v/>
      </c>
      <c r="J125" s="17" t="str">
        <f t="shared" si="4"/>
        <v/>
      </c>
      <c r="K125" s="16" t="str">
        <f t="shared" si="5"/>
        <v/>
      </c>
    </row>
    <row r="126" spans="1:11" x14ac:dyDescent="0.35">
      <c r="A126" s="8" t="str">
        <f>Clean_Data!A126</f>
        <v/>
      </c>
      <c r="B126" s="16" t="str">
        <f>IF(A126="","",IF(Clean_Data!C126="","FAIL","PASS"))</f>
        <v/>
      </c>
      <c r="C126" s="16" t="str">
        <f>IF(A126="","",IF(AND(Clean_Data!C126&lt;&gt;"",Clean_Data!J126="NO"),"FAIL","PASS"))</f>
        <v/>
      </c>
      <c r="D126" s="16" t="str">
        <f>IF(A126="","",IF(Clean_Data!E126="","FAIL","PASS"))</f>
        <v/>
      </c>
      <c r="E126" s="16" t="str">
        <f>IF(A126="","",IF(Clean_Data!G126="","FAIL","PASS"))</f>
        <v/>
      </c>
      <c r="F126" s="16" t="str">
        <f>IF(A126="","",IF(Clean_Data!G126="","OK",IF(Clean_Data!G126&gt;16,"FLAG","OK")))</f>
        <v/>
      </c>
      <c r="G126" s="16" t="str">
        <f>IF(A126="","",IF(Clean_Data!H126="","FAIL","PASS"))</f>
        <v/>
      </c>
      <c r="H126" s="16" t="str">
        <f>IF(A126="","",IF(OR(Clean_Data!D126="",Clean_Data!K126="NO"),"FAIL","PASS"))</f>
        <v/>
      </c>
      <c r="I126" s="16" t="str">
        <f t="shared" si="3"/>
        <v/>
      </c>
      <c r="J126" s="17" t="str">
        <f t="shared" si="4"/>
        <v/>
      </c>
      <c r="K126" s="16" t="str">
        <f t="shared" si="5"/>
        <v/>
      </c>
    </row>
    <row r="127" spans="1:11" x14ac:dyDescent="0.35">
      <c r="A127" s="8" t="str">
        <f>Clean_Data!A127</f>
        <v/>
      </c>
      <c r="B127" s="16" t="str">
        <f>IF(A127="","",IF(Clean_Data!C127="","FAIL","PASS"))</f>
        <v/>
      </c>
      <c r="C127" s="16" t="str">
        <f>IF(A127="","",IF(AND(Clean_Data!C127&lt;&gt;"",Clean_Data!J127="NO"),"FAIL","PASS"))</f>
        <v/>
      </c>
      <c r="D127" s="16" t="str">
        <f>IF(A127="","",IF(Clean_Data!E127="","FAIL","PASS"))</f>
        <v/>
      </c>
      <c r="E127" s="16" t="str">
        <f>IF(A127="","",IF(Clean_Data!G127="","FAIL","PASS"))</f>
        <v/>
      </c>
      <c r="F127" s="16" t="str">
        <f>IF(A127="","",IF(Clean_Data!G127="","OK",IF(Clean_Data!G127&gt;16,"FLAG","OK")))</f>
        <v/>
      </c>
      <c r="G127" s="16" t="str">
        <f>IF(A127="","",IF(Clean_Data!H127="","FAIL","PASS"))</f>
        <v/>
      </c>
      <c r="H127" s="16" t="str">
        <f>IF(A127="","",IF(OR(Clean_Data!D127="",Clean_Data!K127="NO"),"FAIL","PASS"))</f>
        <v/>
      </c>
      <c r="I127" s="16" t="str">
        <f t="shared" si="3"/>
        <v/>
      </c>
      <c r="J127" s="17" t="str">
        <f t="shared" si="4"/>
        <v/>
      </c>
      <c r="K127" s="16" t="str">
        <f t="shared" si="5"/>
        <v/>
      </c>
    </row>
    <row r="128" spans="1:11" x14ac:dyDescent="0.35">
      <c r="A128" s="8" t="str">
        <f>Clean_Data!A128</f>
        <v/>
      </c>
      <c r="B128" s="16" t="str">
        <f>IF(A128="","",IF(Clean_Data!C128="","FAIL","PASS"))</f>
        <v/>
      </c>
      <c r="C128" s="16" t="str">
        <f>IF(A128="","",IF(AND(Clean_Data!C128&lt;&gt;"",Clean_Data!J128="NO"),"FAIL","PASS"))</f>
        <v/>
      </c>
      <c r="D128" s="16" t="str">
        <f>IF(A128="","",IF(Clean_Data!E128="","FAIL","PASS"))</f>
        <v/>
      </c>
      <c r="E128" s="16" t="str">
        <f>IF(A128="","",IF(Clean_Data!G128="","FAIL","PASS"))</f>
        <v/>
      </c>
      <c r="F128" s="16" t="str">
        <f>IF(A128="","",IF(Clean_Data!G128="","OK",IF(Clean_Data!G128&gt;16,"FLAG","OK")))</f>
        <v/>
      </c>
      <c r="G128" s="16" t="str">
        <f>IF(A128="","",IF(Clean_Data!H128="","FAIL","PASS"))</f>
        <v/>
      </c>
      <c r="H128" s="16" t="str">
        <f>IF(A128="","",IF(OR(Clean_Data!D128="",Clean_Data!K128="NO"),"FAIL","PASS"))</f>
        <v/>
      </c>
      <c r="I128" s="16" t="str">
        <f t="shared" si="3"/>
        <v/>
      </c>
      <c r="J128" s="17" t="str">
        <f t="shared" si="4"/>
        <v/>
      </c>
      <c r="K128" s="16" t="str">
        <f t="shared" si="5"/>
        <v/>
      </c>
    </row>
    <row r="129" spans="1:11" x14ac:dyDescent="0.35">
      <c r="A129" s="8" t="str">
        <f>Clean_Data!A129</f>
        <v/>
      </c>
      <c r="B129" s="16" t="str">
        <f>IF(A129="","",IF(Clean_Data!C129="","FAIL","PASS"))</f>
        <v/>
      </c>
      <c r="C129" s="16" t="str">
        <f>IF(A129="","",IF(AND(Clean_Data!C129&lt;&gt;"",Clean_Data!J129="NO"),"FAIL","PASS"))</f>
        <v/>
      </c>
      <c r="D129" s="16" t="str">
        <f>IF(A129="","",IF(Clean_Data!E129="","FAIL","PASS"))</f>
        <v/>
      </c>
      <c r="E129" s="16" t="str">
        <f>IF(A129="","",IF(Clean_Data!G129="","FAIL","PASS"))</f>
        <v/>
      </c>
      <c r="F129" s="16" t="str">
        <f>IF(A129="","",IF(Clean_Data!G129="","OK",IF(Clean_Data!G129&gt;16,"FLAG","OK")))</f>
        <v/>
      </c>
      <c r="G129" s="16" t="str">
        <f>IF(A129="","",IF(Clean_Data!H129="","FAIL","PASS"))</f>
        <v/>
      </c>
      <c r="H129" s="16" t="str">
        <f>IF(A129="","",IF(OR(Clean_Data!D129="",Clean_Data!K129="NO"),"FAIL","PASS"))</f>
        <v/>
      </c>
      <c r="I129" s="16" t="str">
        <f t="shared" si="3"/>
        <v/>
      </c>
      <c r="J129" s="17" t="str">
        <f t="shared" si="4"/>
        <v/>
      </c>
      <c r="K129" s="16" t="str">
        <f t="shared" si="5"/>
        <v/>
      </c>
    </row>
    <row r="130" spans="1:11" x14ac:dyDescent="0.35">
      <c r="A130" s="8" t="str">
        <f>Clean_Data!A130</f>
        <v/>
      </c>
      <c r="B130" s="16" t="str">
        <f>IF(A130="","",IF(Clean_Data!C130="","FAIL","PASS"))</f>
        <v/>
      </c>
      <c r="C130" s="16" t="str">
        <f>IF(A130="","",IF(AND(Clean_Data!C130&lt;&gt;"",Clean_Data!J130="NO"),"FAIL","PASS"))</f>
        <v/>
      </c>
      <c r="D130" s="16" t="str">
        <f>IF(A130="","",IF(Clean_Data!E130="","FAIL","PASS"))</f>
        <v/>
      </c>
      <c r="E130" s="16" t="str">
        <f>IF(A130="","",IF(Clean_Data!G130="","FAIL","PASS"))</f>
        <v/>
      </c>
      <c r="F130" s="16" t="str">
        <f>IF(A130="","",IF(Clean_Data!G130="","OK",IF(Clean_Data!G130&gt;16,"FLAG","OK")))</f>
        <v/>
      </c>
      <c r="G130" s="16" t="str">
        <f>IF(A130="","",IF(Clean_Data!H130="","FAIL","PASS"))</f>
        <v/>
      </c>
      <c r="H130" s="16" t="str">
        <f>IF(A130="","",IF(OR(Clean_Data!D130="",Clean_Data!K130="NO"),"FAIL","PASS"))</f>
        <v/>
      </c>
      <c r="I130" s="16" t="str">
        <f t="shared" si="3"/>
        <v/>
      </c>
      <c r="J130" s="17" t="str">
        <f t="shared" si="4"/>
        <v/>
      </c>
      <c r="K130" s="16" t="str">
        <f t="shared" si="5"/>
        <v/>
      </c>
    </row>
    <row r="131" spans="1:11" x14ac:dyDescent="0.35">
      <c r="A131" s="8" t="str">
        <f>Clean_Data!A131</f>
        <v/>
      </c>
      <c r="B131" s="16" t="str">
        <f>IF(A131="","",IF(Clean_Data!C131="","FAIL","PASS"))</f>
        <v/>
      </c>
      <c r="C131" s="16" t="str">
        <f>IF(A131="","",IF(AND(Clean_Data!C131&lt;&gt;"",Clean_Data!J131="NO"),"FAIL","PASS"))</f>
        <v/>
      </c>
      <c r="D131" s="16" t="str">
        <f>IF(A131="","",IF(Clean_Data!E131="","FAIL","PASS"))</f>
        <v/>
      </c>
      <c r="E131" s="16" t="str">
        <f>IF(A131="","",IF(Clean_Data!G131="","FAIL","PASS"))</f>
        <v/>
      </c>
      <c r="F131" s="16" t="str">
        <f>IF(A131="","",IF(Clean_Data!G131="","OK",IF(Clean_Data!G131&gt;16,"FLAG","OK")))</f>
        <v/>
      </c>
      <c r="G131" s="16" t="str">
        <f>IF(A131="","",IF(Clean_Data!H131="","FAIL","PASS"))</f>
        <v/>
      </c>
      <c r="H131" s="16" t="str">
        <f>IF(A131="","",IF(OR(Clean_Data!D131="",Clean_Data!K131="NO"),"FAIL","PASS"))</f>
        <v/>
      </c>
      <c r="I131" s="16" t="str">
        <f t="shared" si="3"/>
        <v/>
      </c>
      <c r="J131" s="17" t="str">
        <f t="shared" si="4"/>
        <v/>
      </c>
      <c r="K131" s="16" t="str">
        <f t="shared" si="5"/>
        <v/>
      </c>
    </row>
    <row r="132" spans="1:11" x14ac:dyDescent="0.35">
      <c r="A132" s="8" t="str">
        <f>Clean_Data!A132</f>
        <v/>
      </c>
      <c r="B132" s="16" t="str">
        <f>IF(A132="","",IF(Clean_Data!C132="","FAIL","PASS"))</f>
        <v/>
      </c>
      <c r="C132" s="16" t="str">
        <f>IF(A132="","",IF(AND(Clean_Data!C132&lt;&gt;"",Clean_Data!J132="NO"),"FAIL","PASS"))</f>
        <v/>
      </c>
      <c r="D132" s="16" t="str">
        <f>IF(A132="","",IF(Clean_Data!E132="","FAIL","PASS"))</f>
        <v/>
      </c>
      <c r="E132" s="16" t="str">
        <f>IF(A132="","",IF(Clean_Data!G132="","FAIL","PASS"))</f>
        <v/>
      </c>
      <c r="F132" s="16" t="str">
        <f>IF(A132="","",IF(Clean_Data!G132="","OK",IF(Clean_Data!G132&gt;16,"FLAG","OK")))</f>
        <v/>
      </c>
      <c r="G132" s="16" t="str">
        <f>IF(A132="","",IF(Clean_Data!H132="","FAIL","PASS"))</f>
        <v/>
      </c>
      <c r="H132" s="16" t="str">
        <f>IF(A132="","",IF(OR(Clean_Data!D132="",Clean_Data!K132="NO"),"FAIL","PASS"))</f>
        <v/>
      </c>
      <c r="I132" s="16" t="str">
        <f t="shared" ref="I132:I195" si="6">IF(A132="","",IF(COUNTIF(B132:H132,"FAIL")&gt;0,"ERROR",IF(COUNTIF(B132:H132,"FLAG")&gt;0,"REVIEW","OK")))</f>
        <v/>
      </c>
      <c r="J132" s="17" t="str">
        <f t="shared" ref="J132:J195" si="7">IF(A132="","",IF(B132="FAIL",300,0)+IF(C132="FAIL",350,0)+IF(D132="FAIL",250,0)+IF(E132="FAIL",400,0)+IF(F132="FLAG",150,0)+IF(G132="FAIL",200,0)+IF(H132="FAIL",200,0))</f>
        <v/>
      </c>
      <c r="K132" s="16" t="str">
        <f t="shared" ref="K132:K195" si="8">IF(A132="","",IF(B132="FAIL","Missing name",IF(C132="FAIL","Unknown lineman",IF(D132="FAIL","Missing job",IF(E132="FAIL","Invalid hours",IF(F132="FLAG","Hours outlier",IF(G132="FAIL","Missing area",IF(H132="FAIL","Missing foreman","OK"))))))))</f>
        <v/>
      </c>
    </row>
    <row r="133" spans="1:11" x14ac:dyDescent="0.35">
      <c r="A133" s="8" t="str">
        <f>Clean_Data!A133</f>
        <v/>
      </c>
      <c r="B133" s="16" t="str">
        <f>IF(A133="","",IF(Clean_Data!C133="","FAIL","PASS"))</f>
        <v/>
      </c>
      <c r="C133" s="16" t="str">
        <f>IF(A133="","",IF(AND(Clean_Data!C133&lt;&gt;"",Clean_Data!J133="NO"),"FAIL","PASS"))</f>
        <v/>
      </c>
      <c r="D133" s="16" t="str">
        <f>IF(A133="","",IF(Clean_Data!E133="","FAIL","PASS"))</f>
        <v/>
      </c>
      <c r="E133" s="16" t="str">
        <f>IF(A133="","",IF(Clean_Data!G133="","FAIL","PASS"))</f>
        <v/>
      </c>
      <c r="F133" s="16" t="str">
        <f>IF(A133="","",IF(Clean_Data!G133="","OK",IF(Clean_Data!G133&gt;16,"FLAG","OK")))</f>
        <v/>
      </c>
      <c r="G133" s="16" t="str">
        <f>IF(A133="","",IF(Clean_Data!H133="","FAIL","PASS"))</f>
        <v/>
      </c>
      <c r="H133" s="16" t="str">
        <f>IF(A133="","",IF(OR(Clean_Data!D133="",Clean_Data!K133="NO"),"FAIL","PASS"))</f>
        <v/>
      </c>
      <c r="I133" s="16" t="str">
        <f t="shared" si="6"/>
        <v/>
      </c>
      <c r="J133" s="17" t="str">
        <f t="shared" si="7"/>
        <v/>
      </c>
      <c r="K133" s="16" t="str">
        <f t="shared" si="8"/>
        <v/>
      </c>
    </row>
    <row r="134" spans="1:11" x14ac:dyDescent="0.35">
      <c r="A134" s="8" t="str">
        <f>Clean_Data!A134</f>
        <v/>
      </c>
      <c r="B134" s="16" t="str">
        <f>IF(A134="","",IF(Clean_Data!C134="","FAIL","PASS"))</f>
        <v/>
      </c>
      <c r="C134" s="16" t="str">
        <f>IF(A134="","",IF(AND(Clean_Data!C134&lt;&gt;"",Clean_Data!J134="NO"),"FAIL","PASS"))</f>
        <v/>
      </c>
      <c r="D134" s="16" t="str">
        <f>IF(A134="","",IF(Clean_Data!E134="","FAIL","PASS"))</f>
        <v/>
      </c>
      <c r="E134" s="16" t="str">
        <f>IF(A134="","",IF(Clean_Data!G134="","FAIL","PASS"))</f>
        <v/>
      </c>
      <c r="F134" s="16" t="str">
        <f>IF(A134="","",IF(Clean_Data!G134="","OK",IF(Clean_Data!G134&gt;16,"FLAG","OK")))</f>
        <v/>
      </c>
      <c r="G134" s="16" t="str">
        <f>IF(A134="","",IF(Clean_Data!H134="","FAIL","PASS"))</f>
        <v/>
      </c>
      <c r="H134" s="16" t="str">
        <f>IF(A134="","",IF(OR(Clean_Data!D134="",Clean_Data!K134="NO"),"FAIL","PASS"))</f>
        <v/>
      </c>
      <c r="I134" s="16" t="str">
        <f t="shared" si="6"/>
        <v/>
      </c>
      <c r="J134" s="17" t="str">
        <f t="shared" si="7"/>
        <v/>
      </c>
      <c r="K134" s="16" t="str">
        <f t="shared" si="8"/>
        <v/>
      </c>
    </row>
    <row r="135" spans="1:11" x14ac:dyDescent="0.35">
      <c r="A135" s="8" t="str">
        <f>Clean_Data!A135</f>
        <v/>
      </c>
      <c r="B135" s="16" t="str">
        <f>IF(A135="","",IF(Clean_Data!C135="","FAIL","PASS"))</f>
        <v/>
      </c>
      <c r="C135" s="16" t="str">
        <f>IF(A135="","",IF(AND(Clean_Data!C135&lt;&gt;"",Clean_Data!J135="NO"),"FAIL","PASS"))</f>
        <v/>
      </c>
      <c r="D135" s="16" t="str">
        <f>IF(A135="","",IF(Clean_Data!E135="","FAIL","PASS"))</f>
        <v/>
      </c>
      <c r="E135" s="16" t="str">
        <f>IF(A135="","",IF(Clean_Data!G135="","FAIL","PASS"))</f>
        <v/>
      </c>
      <c r="F135" s="16" t="str">
        <f>IF(A135="","",IF(Clean_Data!G135="","OK",IF(Clean_Data!G135&gt;16,"FLAG","OK")))</f>
        <v/>
      </c>
      <c r="G135" s="16" t="str">
        <f>IF(A135="","",IF(Clean_Data!H135="","FAIL","PASS"))</f>
        <v/>
      </c>
      <c r="H135" s="16" t="str">
        <f>IF(A135="","",IF(OR(Clean_Data!D135="",Clean_Data!K135="NO"),"FAIL","PASS"))</f>
        <v/>
      </c>
      <c r="I135" s="16" t="str">
        <f t="shared" si="6"/>
        <v/>
      </c>
      <c r="J135" s="17" t="str">
        <f t="shared" si="7"/>
        <v/>
      </c>
      <c r="K135" s="16" t="str">
        <f t="shared" si="8"/>
        <v/>
      </c>
    </row>
    <row r="136" spans="1:11" x14ac:dyDescent="0.35">
      <c r="A136" s="8" t="str">
        <f>Clean_Data!A136</f>
        <v/>
      </c>
      <c r="B136" s="16" t="str">
        <f>IF(A136="","",IF(Clean_Data!C136="","FAIL","PASS"))</f>
        <v/>
      </c>
      <c r="C136" s="16" t="str">
        <f>IF(A136="","",IF(AND(Clean_Data!C136&lt;&gt;"",Clean_Data!J136="NO"),"FAIL","PASS"))</f>
        <v/>
      </c>
      <c r="D136" s="16" t="str">
        <f>IF(A136="","",IF(Clean_Data!E136="","FAIL","PASS"))</f>
        <v/>
      </c>
      <c r="E136" s="16" t="str">
        <f>IF(A136="","",IF(Clean_Data!G136="","FAIL","PASS"))</f>
        <v/>
      </c>
      <c r="F136" s="16" t="str">
        <f>IF(A136="","",IF(Clean_Data!G136="","OK",IF(Clean_Data!G136&gt;16,"FLAG","OK")))</f>
        <v/>
      </c>
      <c r="G136" s="16" t="str">
        <f>IF(A136="","",IF(Clean_Data!H136="","FAIL","PASS"))</f>
        <v/>
      </c>
      <c r="H136" s="16" t="str">
        <f>IF(A136="","",IF(OR(Clean_Data!D136="",Clean_Data!K136="NO"),"FAIL","PASS"))</f>
        <v/>
      </c>
      <c r="I136" s="16" t="str">
        <f t="shared" si="6"/>
        <v/>
      </c>
      <c r="J136" s="17" t="str">
        <f t="shared" si="7"/>
        <v/>
      </c>
      <c r="K136" s="16" t="str">
        <f t="shared" si="8"/>
        <v/>
      </c>
    </row>
    <row r="137" spans="1:11" x14ac:dyDescent="0.35">
      <c r="A137" s="8" t="str">
        <f>Clean_Data!A137</f>
        <v/>
      </c>
      <c r="B137" s="16" t="str">
        <f>IF(A137="","",IF(Clean_Data!C137="","FAIL","PASS"))</f>
        <v/>
      </c>
      <c r="C137" s="16" t="str">
        <f>IF(A137="","",IF(AND(Clean_Data!C137&lt;&gt;"",Clean_Data!J137="NO"),"FAIL","PASS"))</f>
        <v/>
      </c>
      <c r="D137" s="16" t="str">
        <f>IF(A137="","",IF(Clean_Data!E137="","FAIL","PASS"))</f>
        <v/>
      </c>
      <c r="E137" s="16" t="str">
        <f>IF(A137="","",IF(Clean_Data!G137="","FAIL","PASS"))</f>
        <v/>
      </c>
      <c r="F137" s="16" t="str">
        <f>IF(A137="","",IF(Clean_Data!G137="","OK",IF(Clean_Data!G137&gt;16,"FLAG","OK")))</f>
        <v/>
      </c>
      <c r="G137" s="16" t="str">
        <f>IF(A137="","",IF(Clean_Data!H137="","FAIL","PASS"))</f>
        <v/>
      </c>
      <c r="H137" s="16" t="str">
        <f>IF(A137="","",IF(OR(Clean_Data!D137="",Clean_Data!K137="NO"),"FAIL","PASS"))</f>
        <v/>
      </c>
      <c r="I137" s="16" t="str">
        <f t="shared" si="6"/>
        <v/>
      </c>
      <c r="J137" s="17" t="str">
        <f t="shared" si="7"/>
        <v/>
      </c>
      <c r="K137" s="16" t="str">
        <f t="shared" si="8"/>
        <v/>
      </c>
    </row>
    <row r="138" spans="1:11" x14ac:dyDescent="0.35">
      <c r="A138" s="8" t="str">
        <f>Clean_Data!A138</f>
        <v/>
      </c>
      <c r="B138" s="16" t="str">
        <f>IF(A138="","",IF(Clean_Data!C138="","FAIL","PASS"))</f>
        <v/>
      </c>
      <c r="C138" s="16" t="str">
        <f>IF(A138="","",IF(AND(Clean_Data!C138&lt;&gt;"",Clean_Data!J138="NO"),"FAIL","PASS"))</f>
        <v/>
      </c>
      <c r="D138" s="16" t="str">
        <f>IF(A138="","",IF(Clean_Data!E138="","FAIL","PASS"))</f>
        <v/>
      </c>
      <c r="E138" s="16" t="str">
        <f>IF(A138="","",IF(Clean_Data!G138="","FAIL","PASS"))</f>
        <v/>
      </c>
      <c r="F138" s="16" t="str">
        <f>IF(A138="","",IF(Clean_Data!G138="","OK",IF(Clean_Data!G138&gt;16,"FLAG","OK")))</f>
        <v/>
      </c>
      <c r="G138" s="16" t="str">
        <f>IF(A138="","",IF(Clean_Data!H138="","FAIL","PASS"))</f>
        <v/>
      </c>
      <c r="H138" s="16" t="str">
        <f>IF(A138="","",IF(OR(Clean_Data!D138="",Clean_Data!K138="NO"),"FAIL","PASS"))</f>
        <v/>
      </c>
      <c r="I138" s="16" t="str">
        <f t="shared" si="6"/>
        <v/>
      </c>
      <c r="J138" s="17" t="str">
        <f t="shared" si="7"/>
        <v/>
      </c>
      <c r="K138" s="16" t="str">
        <f t="shared" si="8"/>
        <v/>
      </c>
    </row>
    <row r="139" spans="1:11" x14ac:dyDescent="0.35">
      <c r="A139" s="8" t="str">
        <f>Clean_Data!A139</f>
        <v/>
      </c>
      <c r="B139" s="16" t="str">
        <f>IF(A139="","",IF(Clean_Data!C139="","FAIL","PASS"))</f>
        <v/>
      </c>
      <c r="C139" s="16" t="str">
        <f>IF(A139="","",IF(AND(Clean_Data!C139&lt;&gt;"",Clean_Data!J139="NO"),"FAIL","PASS"))</f>
        <v/>
      </c>
      <c r="D139" s="16" t="str">
        <f>IF(A139="","",IF(Clean_Data!E139="","FAIL","PASS"))</f>
        <v/>
      </c>
      <c r="E139" s="16" t="str">
        <f>IF(A139="","",IF(Clean_Data!G139="","FAIL","PASS"))</f>
        <v/>
      </c>
      <c r="F139" s="16" t="str">
        <f>IF(A139="","",IF(Clean_Data!G139="","OK",IF(Clean_Data!G139&gt;16,"FLAG","OK")))</f>
        <v/>
      </c>
      <c r="G139" s="16" t="str">
        <f>IF(A139="","",IF(Clean_Data!H139="","FAIL","PASS"))</f>
        <v/>
      </c>
      <c r="H139" s="16" t="str">
        <f>IF(A139="","",IF(OR(Clean_Data!D139="",Clean_Data!K139="NO"),"FAIL","PASS"))</f>
        <v/>
      </c>
      <c r="I139" s="16" t="str">
        <f t="shared" si="6"/>
        <v/>
      </c>
      <c r="J139" s="17" t="str">
        <f t="shared" si="7"/>
        <v/>
      </c>
      <c r="K139" s="16" t="str">
        <f t="shared" si="8"/>
        <v/>
      </c>
    </row>
    <row r="140" spans="1:11" x14ac:dyDescent="0.35">
      <c r="A140" s="8" t="str">
        <f>Clean_Data!A140</f>
        <v/>
      </c>
      <c r="B140" s="16" t="str">
        <f>IF(A140="","",IF(Clean_Data!C140="","FAIL","PASS"))</f>
        <v/>
      </c>
      <c r="C140" s="16" t="str">
        <f>IF(A140="","",IF(AND(Clean_Data!C140&lt;&gt;"",Clean_Data!J140="NO"),"FAIL","PASS"))</f>
        <v/>
      </c>
      <c r="D140" s="16" t="str">
        <f>IF(A140="","",IF(Clean_Data!E140="","FAIL","PASS"))</f>
        <v/>
      </c>
      <c r="E140" s="16" t="str">
        <f>IF(A140="","",IF(Clean_Data!G140="","FAIL","PASS"))</f>
        <v/>
      </c>
      <c r="F140" s="16" t="str">
        <f>IF(A140="","",IF(Clean_Data!G140="","OK",IF(Clean_Data!G140&gt;16,"FLAG","OK")))</f>
        <v/>
      </c>
      <c r="G140" s="16" t="str">
        <f>IF(A140="","",IF(Clean_Data!H140="","FAIL","PASS"))</f>
        <v/>
      </c>
      <c r="H140" s="16" t="str">
        <f>IF(A140="","",IF(OR(Clean_Data!D140="",Clean_Data!K140="NO"),"FAIL","PASS"))</f>
        <v/>
      </c>
      <c r="I140" s="16" t="str">
        <f t="shared" si="6"/>
        <v/>
      </c>
      <c r="J140" s="17" t="str">
        <f t="shared" si="7"/>
        <v/>
      </c>
      <c r="K140" s="16" t="str">
        <f t="shared" si="8"/>
        <v/>
      </c>
    </row>
    <row r="141" spans="1:11" x14ac:dyDescent="0.35">
      <c r="A141" s="8" t="str">
        <f>Clean_Data!A141</f>
        <v/>
      </c>
      <c r="B141" s="16" t="str">
        <f>IF(A141="","",IF(Clean_Data!C141="","FAIL","PASS"))</f>
        <v/>
      </c>
      <c r="C141" s="16" t="str">
        <f>IF(A141="","",IF(AND(Clean_Data!C141&lt;&gt;"",Clean_Data!J141="NO"),"FAIL","PASS"))</f>
        <v/>
      </c>
      <c r="D141" s="16" t="str">
        <f>IF(A141="","",IF(Clean_Data!E141="","FAIL","PASS"))</f>
        <v/>
      </c>
      <c r="E141" s="16" t="str">
        <f>IF(A141="","",IF(Clean_Data!G141="","FAIL","PASS"))</f>
        <v/>
      </c>
      <c r="F141" s="16" t="str">
        <f>IF(A141="","",IF(Clean_Data!G141="","OK",IF(Clean_Data!G141&gt;16,"FLAG","OK")))</f>
        <v/>
      </c>
      <c r="G141" s="16" t="str">
        <f>IF(A141="","",IF(Clean_Data!H141="","FAIL","PASS"))</f>
        <v/>
      </c>
      <c r="H141" s="16" t="str">
        <f>IF(A141="","",IF(OR(Clean_Data!D141="",Clean_Data!K141="NO"),"FAIL","PASS"))</f>
        <v/>
      </c>
      <c r="I141" s="16" t="str">
        <f t="shared" si="6"/>
        <v/>
      </c>
      <c r="J141" s="17" t="str">
        <f t="shared" si="7"/>
        <v/>
      </c>
      <c r="K141" s="16" t="str">
        <f t="shared" si="8"/>
        <v/>
      </c>
    </row>
    <row r="142" spans="1:11" x14ac:dyDescent="0.35">
      <c r="A142" s="8" t="str">
        <f>Clean_Data!A142</f>
        <v/>
      </c>
      <c r="B142" s="16" t="str">
        <f>IF(A142="","",IF(Clean_Data!C142="","FAIL","PASS"))</f>
        <v/>
      </c>
      <c r="C142" s="16" t="str">
        <f>IF(A142="","",IF(AND(Clean_Data!C142&lt;&gt;"",Clean_Data!J142="NO"),"FAIL","PASS"))</f>
        <v/>
      </c>
      <c r="D142" s="16" t="str">
        <f>IF(A142="","",IF(Clean_Data!E142="","FAIL","PASS"))</f>
        <v/>
      </c>
      <c r="E142" s="16" t="str">
        <f>IF(A142="","",IF(Clean_Data!G142="","FAIL","PASS"))</f>
        <v/>
      </c>
      <c r="F142" s="16" t="str">
        <f>IF(A142="","",IF(Clean_Data!G142="","OK",IF(Clean_Data!G142&gt;16,"FLAG","OK")))</f>
        <v/>
      </c>
      <c r="G142" s="16" t="str">
        <f>IF(A142="","",IF(Clean_Data!H142="","FAIL","PASS"))</f>
        <v/>
      </c>
      <c r="H142" s="16" t="str">
        <f>IF(A142="","",IF(OR(Clean_Data!D142="",Clean_Data!K142="NO"),"FAIL","PASS"))</f>
        <v/>
      </c>
      <c r="I142" s="16" t="str">
        <f t="shared" si="6"/>
        <v/>
      </c>
      <c r="J142" s="17" t="str">
        <f t="shared" si="7"/>
        <v/>
      </c>
      <c r="K142" s="16" t="str">
        <f t="shared" si="8"/>
        <v/>
      </c>
    </row>
    <row r="143" spans="1:11" x14ac:dyDescent="0.35">
      <c r="A143" s="8" t="str">
        <f>Clean_Data!A143</f>
        <v/>
      </c>
      <c r="B143" s="16" t="str">
        <f>IF(A143="","",IF(Clean_Data!C143="","FAIL","PASS"))</f>
        <v/>
      </c>
      <c r="C143" s="16" t="str">
        <f>IF(A143="","",IF(AND(Clean_Data!C143&lt;&gt;"",Clean_Data!J143="NO"),"FAIL","PASS"))</f>
        <v/>
      </c>
      <c r="D143" s="16" t="str">
        <f>IF(A143="","",IF(Clean_Data!E143="","FAIL","PASS"))</f>
        <v/>
      </c>
      <c r="E143" s="16" t="str">
        <f>IF(A143="","",IF(Clean_Data!G143="","FAIL","PASS"))</f>
        <v/>
      </c>
      <c r="F143" s="16" t="str">
        <f>IF(A143="","",IF(Clean_Data!G143="","OK",IF(Clean_Data!G143&gt;16,"FLAG","OK")))</f>
        <v/>
      </c>
      <c r="G143" s="16" t="str">
        <f>IF(A143="","",IF(Clean_Data!H143="","FAIL","PASS"))</f>
        <v/>
      </c>
      <c r="H143" s="16" t="str">
        <f>IF(A143="","",IF(OR(Clean_Data!D143="",Clean_Data!K143="NO"),"FAIL","PASS"))</f>
        <v/>
      </c>
      <c r="I143" s="16" t="str">
        <f t="shared" si="6"/>
        <v/>
      </c>
      <c r="J143" s="17" t="str">
        <f t="shared" si="7"/>
        <v/>
      </c>
      <c r="K143" s="16" t="str">
        <f t="shared" si="8"/>
        <v/>
      </c>
    </row>
    <row r="144" spans="1:11" x14ac:dyDescent="0.35">
      <c r="A144" s="8" t="str">
        <f>Clean_Data!A144</f>
        <v/>
      </c>
      <c r="B144" s="16" t="str">
        <f>IF(A144="","",IF(Clean_Data!C144="","FAIL","PASS"))</f>
        <v/>
      </c>
      <c r="C144" s="16" t="str">
        <f>IF(A144="","",IF(AND(Clean_Data!C144&lt;&gt;"",Clean_Data!J144="NO"),"FAIL","PASS"))</f>
        <v/>
      </c>
      <c r="D144" s="16" t="str">
        <f>IF(A144="","",IF(Clean_Data!E144="","FAIL","PASS"))</f>
        <v/>
      </c>
      <c r="E144" s="16" t="str">
        <f>IF(A144="","",IF(Clean_Data!G144="","FAIL","PASS"))</f>
        <v/>
      </c>
      <c r="F144" s="16" t="str">
        <f>IF(A144="","",IF(Clean_Data!G144="","OK",IF(Clean_Data!G144&gt;16,"FLAG","OK")))</f>
        <v/>
      </c>
      <c r="G144" s="16" t="str">
        <f>IF(A144="","",IF(Clean_Data!H144="","FAIL","PASS"))</f>
        <v/>
      </c>
      <c r="H144" s="16" t="str">
        <f>IF(A144="","",IF(OR(Clean_Data!D144="",Clean_Data!K144="NO"),"FAIL","PASS"))</f>
        <v/>
      </c>
      <c r="I144" s="16" t="str">
        <f t="shared" si="6"/>
        <v/>
      </c>
      <c r="J144" s="17" t="str">
        <f t="shared" si="7"/>
        <v/>
      </c>
      <c r="K144" s="16" t="str">
        <f t="shared" si="8"/>
        <v/>
      </c>
    </row>
    <row r="145" spans="1:11" x14ac:dyDescent="0.35">
      <c r="A145" s="8" t="str">
        <f>Clean_Data!A145</f>
        <v/>
      </c>
      <c r="B145" s="16" t="str">
        <f>IF(A145="","",IF(Clean_Data!C145="","FAIL","PASS"))</f>
        <v/>
      </c>
      <c r="C145" s="16" t="str">
        <f>IF(A145="","",IF(AND(Clean_Data!C145&lt;&gt;"",Clean_Data!J145="NO"),"FAIL","PASS"))</f>
        <v/>
      </c>
      <c r="D145" s="16" t="str">
        <f>IF(A145="","",IF(Clean_Data!E145="","FAIL","PASS"))</f>
        <v/>
      </c>
      <c r="E145" s="16" t="str">
        <f>IF(A145="","",IF(Clean_Data!G145="","FAIL","PASS"))</f>
        <v/>
      </c>
      <c r="F145" s="16" t="str">
        <f>IF(A145="","",IF(Clean_Data!G145="","OK",IF(Clean_Data!G145&gt;16,"FLAG","OK")))</f>
        <v/>
      </c>
      <c r="G145" s="16" t="str">
        <f>IF(A145="","",IF(Clean_Data!H145="","FAIL","PASS"))</f>
        <v/>
      </c>
      <c r="H145" s="16" t="str">
        <f>IF(A145="","",IF(OR(Clean_Data!D145="",Clean_Data!K145="NO"),"FAIL","PASS"))</f>
        <v/>
      </c>
      <c r="I145" s="16" t="str">
        <f t="shared" si="6"/>
        <v/>
      </c>
      <c r="J145" s="17" t="str">
        <f t="shared" si="7"/>
        <v/>
      </c>
      <c r="K145" s="16" t="str">
        <f t="shared" si="8"/>
        <v/>
      </c>
    </row>
    <row r="146" spans="1:11" x14ac:dyDescent="0.35">
      <c r="A146" s="8" t="str">
        <f>Clean_Data!A146</f>
        <v/>
      </c>
      <c r="B146" s="16" t="str">
        <f>IF(A146="","",IF(Clean_Data!C146="","FAIL","PASS"))</f>
        <v/>
      </c>
      <c r="C146" s="16" t="str">
        <f>IF(A146="","",IF(AND(Clean_Data!C146&lt;&gt;"",Clean_Data!J146="NO"),"FAIL","PASS"))</f>
        <v/>
      </c>
      <c r="D146" s="16" t="str">
        <f>IF(A146="","",IF(Clean_Data!E146="","FAIL","PASS"))</f>
        <v/>
      </c>
      <c r="E146" s="16" t="str">
        <f>IF(A146="","",IF(Clean_Data!G146="","FAIL","PASS"))</f>
        <v/>
      </c>
      <c r="F146" s="16" t="str">
        <f>IF(A146="","",IF(Clean_Data!G146="","OK",IF(Clean_Data!G146&gt;16,"FLAG","OK")))</f>
        <v/>
      </c>
      <c r="G146" s="16" t="str">
        <f>IF(A146="","",IF(Clean_Data!H146="","FAIL","PASS"))</f>
        <v/>
      </c>
      <c r="H146" s="16" t="str">
        <f>IF(A146="","",IF(OR(Clean_Data!D146="",Clean_Data!K146="NO"),"FAIL","PASS"))</f>
        <v/>
      </c>
      <c r="I146" s="16" t="str">
        <f t="shared" si="6"/>
        <v/>
      </c>
      <c r="J146" s="17" t="str">
        <f t="shared" si="7"/>
        <v/>
      </c>
      <c r="K146" s="16" t="str">
        <f t="shared" si="8"/>
        <v/>
      </c>
    </row>
    <row r="147" spans="1:11" x14ac:dyDescent="0.35">
      <c r="A147" s="8" t="str">
        <f>Clean_Data!A147</f>
        <v/>
      </c>
      <c r="B147" s="16" t="str">
        <f>IF(A147="","",IF(Clean_Data!C147="","FAIL","PASS"))</f>
        <v/>
      </c>
      <c r="C147" s="16" t="str">
        <f>IF(A147="","",IF(AND(Clean_Data!C147&lt;&gt;"",Clean_Data!J147="NO"),"FAIL","PASS"))</f>
        <v/>
      </c>
      <c r="D147" s="16" t="str">
        <f>IF(A147="","",IF(Clean_Data!E147="","FAIL","PASS"))</f>
        <v/>
      </c>
      <c r="E147" s="16" t="str">
        <f>IF(A147="","",IF(Clean_Data!G147="","FAIL","PASS"))</f>
        <v/>
      </c>
      <c r="F147" s="16" t="str">
        <f>IF(A147="","",IF(Clean_Data!G147="","OK",IF(Clean_Data!G147&gt;16,"FLAG","OK")))</f>
        <v/>
      </c>
      <c r="G147" s="16" t="str">
        <f>IF(A147="","",IF(Clean_Data!H147="","FAIL","PASS"))</f>
        <v/>
      </c>
      <c r="H147" s="16" t="str">
        <f>IF(A147="","",IF(OR(Clean_Data!D147="",Clean_Data!K147="NO"),"FAIL","PASS"))</f>
        <v/>
      </c>
      <c r="I147" s="16" t="str">
        <f t="shared" si="6"/>
        <v/>
      </c>
      <c r="J147" s="17" t="str">
        <f t="shared" si="7"/>
        <v/>
      </c>
      <c r="K147" s="16" t="str">
        <f t="shared" si="8"/>
        <v/>
      </c>
    </row>
    <row r="148" spans="1:11" x14ac:dyDescent="0.35">
      <c r="A148" s="8" t="str">
        <f>Clean_Data!A148</f>
        <v/>
      </c>
      <c r="B148" s="16" t="str">
        <f>IF(A148="","",IF(Clean_Data!C148="","FAIL","PASS"))</f>
        <v/>
      </c>
      <c r="C148" s="16" t="str">
        <f>IF(A148="","",IF(AND(Clean_Data!C148&lt;&gt;"",Clean_Data!J148="NO"),"FAIL","PASS"))</f>
        <v/>
      </c>
      <c r="D148" s="16" t="str">
        <f>IF(A148="","",IF(Clean_Data!E148="","FAIL","PASS"))</f>
        <v/>
      </c>
      <c r="E148" s="16" t="str">
        <f>IF(A148="","",IF(Clean_Data!G148="","FAIL","PASS"))</f>
        <v/>
      </c>
      <c r="F148" s="16" t="str">
        <f>IF(A148="","",IF(Clean_Data!G148="","OK",IF(Clean_Data!G148&gt;16,"FLAG","OK")))</f>
        <v/>
      </c>
      <c r="G148" s="16" t="str">
        <f>IF(A148="","",IF(Clean_Data!H148="","FAIL","PASS"))</f>
        <v/>
      </c>
      <c r="H148" s="16" t="str">
        <f>IF(A148="","",IF(OR(Clean_Data!D148="",Clean_Data!K148="NO"),"FAIL","PASS"))</f>
        <v/>
      </c>
      <c r="I148" s="16" t="str">
        <f t="shared" si="6"/>
        <v/>
      </c>
      <c r="J148" s="17" t="str">
        <f t="shared" si="7"/>
        <v/>
      </c>
      <c r="K148" s="16" t="str">
        <f t="shared" si="8"/>
        <v/>
      </c>
    </row>
    <row r="149" spans="1:11" x14ac:dyDescent="0.35">
      <c r="A149" s="8" t="str">
        <f>Clean_Data!A149</f>
        <v/>
      </c>
      <c r="B149" s="16" t="str">
        <f>IF(A149="","",IF(Clean_Data!C149="","FAIL","PASS"))</f>
        <v/>
      </c>
      <c r="C149" s="16" t="str">
        <f>IF(A149="","",IF(AND(Clean_Data!C149&lt;&gt;"",Clean_Data!J149="NO"),"FAIL","PASS"))</f>
        <v/>
      </c>
      <c r="D149" s="16" t="str">
        <f>IF(A149="","",IF(Clean_Data!E149="","FAIL","PASS"))</f>
        <v/>
      </c>
      <c r="E149" s="16" t="str">
        <f>IF(A149="","",IF(Clean_Data!G149="","FAIL","PASS"))</f>
        <v/>
      </c>
      <c r="F149" s="16" t="str">
        <f>IF(A149="","",IF(Clean_Data!G149="","OK",IF(Clean_Data!G149&gt;16,"FLAG","OK")))</f>
        <v/>
      </c>
      <c r="G149" s="16" t="str">
        <f>IF(A149="","",IF(Clean_Data!H149="","FAIL","PASS"))</f>
        <v/>
      </c>
      <c r="H149" s="16" t="str">
        <f>IF(A149="","",IF(OR(Clean_Data!D149="",Clean_Data!K149="NO"),"FAIL","PASS"))</f>
        <v/>
      </c>
      <c r="I149" s="16" t="str">
        <f t="shared" si="6"/>
        <v/>
      </c>
      <c r="J149" s="17" t="str">
        <f t="shared" si="7"/>
        <v/>
      </c>
      <c r="K149" s="16" t="str">
        <f t="shared" si="8"/>
        <v/>
      </c>
    </row>
    <row r="150" spans="1:11" x14ac:dyDescent="0.35">
      <c r="A150" s="8" t="str">
        <f>Clean_Data!A150</f>
        <v/>
      </c>
      <c r="B150" s="16" t="str">
        <f>IF(A150="","",IF(Clean_Data!C150="","FAIL","PASS"))</f>
        <v/>
      </c>
      <c r="C150" s="16" t="str">
        <f>IF(A150="","",IF(AND(Clean_Data!C150&lt;&gt;"",Clean_Data!J150="NO"),"FAIL","PASS"))</f>
        <v/>
      </c>
      <c r="D150" s="16" t="str">
        <f>IF(A150="","",IF(Clean_Data!E150="","FAIL","PASS"))</f>
        <v/>
      </c>
      <c r="E150" s="16" t="str">
        <f>IF(A150="","",IF(Clean_Data!G150="","FAIL","PASS"))</f>
        <v/>
      </c>
      <c r="F150" s="16" t="str">
        <f>IF(A150="","",IF(Clean_Data!G150="","OK",IF(Clean_Data!G150&gt;16,"FLAG","OK")))</f>
        <v/>
      </c>
      <c r="G150" s="16" t="str">
        <f>IF(A150="","",IF(Clean_Data!H150="","FAIL","PASS"))</f>
        <v/>
      </c>
      <c r="H150" s="16" t="str">
        <f>IF(A150="","",IF(OR(Clean_Data!D150="",Clean_Data!K150="NO"),"FAIL","PASS"))</f>
        <v/>
      </c>
      <c r="I150" s="16" t="str">
        <f t="shared" si="6"/>
        <v/>
      </c>
      <c r="J150" s="17" t="str">
        <f t="shared" si="7"/>
        <v/>
      </c>
      <c r="K150" s="16" t="str">
        <f t="shared" si="8"/>
        <v/>
      </c>
    </row>
    <row r="151" spans="1:11" x14ac:dyDescent="0.35">
      <c r="A151" s="8" t="str">
        <f>Clean_Data!A151</f>
        <v/>
      </c>
      <c r="B151" s="16" t="str">
        <f>IF(A151="","",IF(Clean_Data!C151="","FAIL","PASS"))</f>
        <v/>
      </c>
      <c r="C151" s="16" t="str">
        <f>IF(A151="","",IF(AND(Clean_Data!C151&lt;&gt;"",Clean_Data!J151="NO"),"FAIL","PASS"))</f>
        <v/>
      </c>
      <c r="D151" s="16" t="str">
        <f>IF(A151="","",IF(Clean_Data!E151="","FAIL","PASS"))</f>
        <v/>
      </c>
      <c r="E151" s="16" t="str">
        <f>IF(A151="","",IF(Clean_Data!G151="","FAIL","PASS"))</f>
        <v/>
      </c>
      <c r="F151" s="16" t="str">
        <f>IF(A151="","",IF(Clean_Data!G151="","OK",IF(Clean_Data!G151&gt;16,"FLAG","OK")))</f>
        <v/>
      </c>
      <c r="G151" s="16" t="str">
        <f>IF(A151="","",IF(Clean_Data!H151="","FAIL","PASS"))</f>
        <v/>
      </c>
      <c r="H151" s="16" t="str">
        <f>IF(A151="","",IF(OR(Clean_Data!D151="",Clean_Data!K151="NO"),"FAIL","PASS"))</f>
        <v/>
      </c>
      <c r="I151" s="16" t="str">
        <f t="shared" si="6"/>
        <v/>
      </c>
      <c r="J151" s="17" t="str">
        <f t="shared" si="7"/>
        <v/>
      </c>
      <c r="K151" s="16" t="str">
        <f t="shared" si="8"/>
        <v/>
      </c>
    </row>
    <row r="152" spans="1:11" x14ac:dyDescent="0.35">
      <c r="A152" s="8" t="str">
        <f>Clean_Data!A152</f>
        <v/>
      </c>
      <c r="B152" s="16" t="str">
        <f>IF(A152="","",IF(Clean_Data!C152="","FAIL","PASS"))</f>
        <v/>
      </c>
      <c r="C152" s="16" t="str">
        <f>IF(A152="","",IF(AND(Clean_Data!C152&lt;&gt;"",Clean_Data!J152="NO"),"FAIL","PASS"))</f>
        <v/>
      </c>
      <c r="D152" s="16" t="str">
        <f>IF(A152="","",IF(Clean_Data!E152="","FAIL","PASS"))</f>
        <v/>
      </c>
      <c r="E152" s="16" t="str">
        <f>IF(A152="","",IF(Clean_Data!G152="","FAIL","PASS"))</f>
        <v/>
      </c>
      <c r="F152" s="16" t="str">
        <f>IF(A152="","",IF(Clean_Data!G152="","OK",IF(Clean_Data!G152&gt;16,"FLAG","OK")))</f>
        <v/>
      </c>
      <c r="G152" s="16" t="str">
        <f>IF(A152="","",IF(Clean_Data!H152="","FAIL","PASS"))</f>
        <v/>
      </c>
      <c r="H152" s="16" t="str">
        <f>IF(A152="","",IF(OR(Clean_Data!D152="",Clean_Data!K152="NO"),"FAIL","PASS"))</f>
        <v/>
      </c>
      <c r="I152" s="16" t="str">
        <f t="shared" si="6"/>
        <v/>
      </c>
      <c r="J152" s="17" t="str">
        <f t="shared" si="7"/>
        <v/>
      </c>
      <c r="K152" s="16" t="str">
        <f t="shared" si="8"/>
        <v/>
      </c>
    </row>
    <row r="153" spans="1:11" x14ac:dyDescent="0.35">
      <c r="A153" s="8" t="str">
        <f>Clean_Data!A153</f>
        <v/>
      </c>
      <c r="B153" s="16" t="str">
        <f>IF(A153="","",IF(Clean_Data!C153="","FAIL","PASS"))</f>
        <v/>
      </c>
      <c r="C153" s="16" t="str">
        <f>IF(A153="","",IF(AND(Clean_Data!C153&lt;&gt;"",Clean_Data!J153="NO"),"FAIL","PASS"))</f>
        <v/>
      </c>
      <c r="D153" s="16" t="str">
        <f>IF(A153="","",IF(Clean_Data!E153="","FAIL","PASS"))</f>
        <v/>
      </c>
      <c r="E153" s="16" t="str">
        <f>IF(A153="","",IF(Clean_Data!G153="","FAIL","PASS"))</f>
        <v/>
      </c>
      <c r="F153" s="16" t="str">
        <f>IF(A153="","",IF(Clean_Data!G153="","OK",IF(Clean_Data!G153&gt;16,"FLAG","OK")))</f>
        <v/>
      </c>
      <c r="G153" s="16" t="str">
        <f>IF(A153="","",IF(Clean_Data!H153="","FAIL","PASS"))</f>
        <v/>
      </c>
      <c r="H153" s="16" t="str">
        <f>IF(A153="","",IF(OR(Clean_Data!D153="",Clean_Data!K153="NO"),"FAIL","PASS"))</f>
        <v/>
      </c>
      <c r="I153" s="16" t="str">
        <f t="shared" si="6"/>
        <v/>
      </c>
      <c r="J153" s="17" t="str">
        <f t="shared" si="7"/>
        <v/>
      </c>
      <c r="K153" s="16" t="str">
        <f t="shared" si="8"/>
        <v/>
      </c>
    </row>
    <row r="154" spans="1:11" x14ac:dyDescent="0.35">
      <c r="A154" s="8" t="str">
        <f>Clean_Data!A154</f>
        <v/>
      </c>
      <c r="B154" s="16" t="str">
        <f>IF(A154="","",IF(Clean_Data!C154="","FAIL","PASS"))</f>
        <v/>
      </c>
      <c r="C154" s="16" t="str">
        <f>IF(A154="","",IF(AND(Clean_Data!C154&lt;&gt;"",Clean_Data!J154="NO"),"FAIL","PASS"))</f>
        <v/>
      </c>
      <c r="D154" s="16" t="str">
        <f>IF(A154="","",IF(Clean_Data!E154="","FAIL","PASS"))</f>
        <v/>
      </c>
      <c r="E154" s="16" t="str">
        <f>IF(A154="","",IF(Clean_Data!G154="","FAIL","PASS"))</f>
        <v/>
      </c>
      <c r="F154" s="16" t="str">
        <f>IF(A154="","",IF(Clean_Data!G154="","OK",IF(Clean_Data!G154&gt;16,"FLAG","OK")))</f>
        <v/>
      </c>
      <c r="G154" s="16" t="str">
        <f>IF(A154="","",IF(Clean_Data!H154="","FAIL","PASS"))</f>
        <v/>
      </c>
      <c r="H154" s="16" t="str">
        <f>IF(A154="","",IF(OR(Clean_Data!D154="",Clean_Data!K154="NO"),"FAIL","PASS"))</f>
        <v/>
      </c>
      <c r="I154" s="16" t="str">
        <f t="shared" si="6"/>
        <v/>
      </c>
      <c r="J154" s="17" t="str">
        <f t="shared" si="7"/>
        <v/>
      </c>
      <c r="K154" s="16" t="str">
        <f t="shared" si="8"/>
        <v/>
      </c>
    </row>
    <row r="155" spans="1:11" x14ac:dyDescent="0.35">
      <c r="A155" s="8" t="str">
        <f>Clean_Data!A155</f>
        <v/>
      </c>
      <c r="B155" s="16" t="str">
        <f>IF(A155="","",IF(Clean_Data!C155="","FAIL","PASS"))</f>
        <v/>
      </c>
      <c r="C155" s="16" t="str">
        <f>IF(A155="","",IF(AND(Clean_Data!C155&lt;&gt;"",Clean_Data!J155="NO"),"FAIL","PASS"))</f>
        <v/>
      </c>
      <c r="D155" s="16" t="str">
        <f>IF(A155="","",IF(Clean_Data!E155="","FAIL","PASS"))</f>
        <v/>
      </c>
      <c r="E155" s="16" t="str">
        <f>IF(A155="","",IF(Clean_Data!G155="","FAIL","PASS"))</f>
        <v/>
      </c>
      <c r="F155" s="16" t="str">
        <f>IF(A155="","",IF(Clean_Data!G155="","OK",IF(Clean_Data!G155&gt;16,"FLAG","OK")))</f>
        <v/>
      </c>
      <c r="G155" s="16" t="str">
        <f>IF(A155="","",IF(Clean_Data!H155="","FAIL","PASS"))</f>
        <v/>
      </c>
      <c r="H155" s="16" t="str">
        <f>IF(A155="","",IF(OR(Clean_Data!D155="",Clean_Data!K155="NO"),"FAIL","PASS"))</f>
        <v/>
      </c>
      <c r="I155" s="16" t="str">
        <f t="shared" si="6"/>
        <v/>
      </c>
      <c r="J155" s="17" t="str">
        <f t="shared" si="7"/>
        <v/>
      </c>
      <c r="K155" s="16" t="str">
        <f t="shared" si="8"/>
        <v/>
      </c>
    </row>
    <row r="156" spans="1:11" x14ac:dyDescent="0.35">
      <c r="A156" s="8" t="str">
        <f>Clean_Data!A156</f>
        <v/>
      </c>
      <c r="B156" s="16" t="str">
        <f>IF(A156="","",IF(Clean_Data!C156="","FAIL","PASS"))</f>
        <v/>
      </c>
      <c r="C156" s="16" t="str">
        <f>IF(A156="","",IF(AND(Clean_Data!C156&lt;&gt;"",Clean_Data!J156="NO"),"FAIL","PASS"))</f>
        <v/>
      </c>
      <c r="D156" s="16" t="str">
        <f>IF(A156="","",IF(Clean_Data!E156="","FAIL","PASS"))</f>
        <v/>
      </c>
      <c r="E156" s="16" t="str">
        <f>IF(A156="","",IF(Clean_Data!G156="","FAIL","PASS"))</f>
        <v/>
      </c>
      <c r="F156" s="16" t="str">
        <f>IF(A156="","",IF(Clean_Data!G156="","OK",IF(Clean_Data!G156&gt;16,"FLAG","OK")))</f>
        <v/>
      </c>
      <c r="G156" s="16" t="str">
        <f>IF(A156="","",IF(Clean_Data!H156="","FAIL","PASS"))</f>
        <v/>
      </c>
      <c r="H156" s="16" t="str">
        <f>IF(A156="","",IF(OR(Clean_Data!D156="",Clean_Data!K156="NO"),"FAIL","PASS"))</f>
        <v/>
      </c>
      <c r="I156" s="16" t="str">
        <f t="shared" si="6"/>
        <v/>
      </c>
      <c r="J156" s="17" t="str">
        <f t="shared" si="7"/>
        <v/>
      </c>
      <c r="K156" s="16" t="str">
        <f t="shared" si="8"/>
        <v/>
      </c>
    </row>
    <row r="157" spans="1:11" x14ac:dyDescent="0.35">
      <c r="A157" s="8" t="str">
        <f>Clean_Data!A157</f>
        <v/>
      </c>
      <c r="B157" s="16" t="str">
        <f>IF(A157="","",IF(Clean_Data!C157="","FAIL","PASS"))</f>
        <v/>
      </c>
      <c r="C157" s="16" t="str">
        <f>IF(A157="","",IF(AND(Clean_Data!C157&lt;&gt;"",Clean_Data!J157="NO"),"FAIL","PASS"))</f>
        <v/>
      </c>
      <c r="D157" s="16" t="str">
        <f>IF(A157="","",IF(Clean_Data!E157="","FAIL","PASS"))</f>
        <v/>
      </c>
      <c r="E157" s="16" t="str">
        <f>IF(A157="","",IF(Clean_Data!G157="","FAIL","PASS"))</f>
        <v/>
      </c>
      <c r="F157" s="16" t="str">
        <f>IF(A157="","",IF(Clean_Data!G157="","OK",IF(Clean_Data!G157&gt;16,"FLAG","OK")))</f>
        <v/>
      </c>
      <c r="G157" s="16" t="str">
        <f>IF(A157="","",IF(Clean_Data!H157="","FAIL","PASS"))</f>
        <v/>
      </c>
      <c r="H157" s="16" t="str">
        <f>IF(A157="","",IF(OR(Clean_Data!D157="",Clean_Data!K157="NO"),"FAIL","PASS"))</f>
        <v/>
      </c>
      <c r="I157" s="16" t="str">
        <f t="shared" si="6"/>
        <v/>
      </c>
      <c r="J157" s="17" t="str">
        <f t="shared" si="7"/>
        <v/>
      </c>
      <c r="K157" s="16" t="str">
        <f t="shared" si="8"/>
        <v/>
      </c>
    </row>
    <row r="158" spans="1:11" x14ac:dyDescent="0.35">
      <c r="A158" s="8" t="str">
        <f>Clean_Data!A158</f>
        <v/>
      </c>
      <c r="B158" s="16" t="str">
        <f>IF(A158="","",IF(Clean_Data!C158="","FAIL","PASS"))</f>
        <v/>
      </c>
      <c r="C158" s="16" t="str">
        <f>IF(A158="","",IF(AND(Clean_Data!C158&lt;&gt;"",Clean_Data!J158="NO"),"FAIL","PASS"))</f>
        <v/>
      </c>
      <c r="D158" s="16" t="str">
        <f>IF(A158="","",IF(Clean_Data!E158="","FAIL","PASS"))</f>
        <v/>
      </c>
      <c r="E158" s="16" t="str">
        <f>IF(A158="","",IF(Clean_Data!G158="","FAIL","PASS"))</f>
        <v/>
      </c>
      <c r="F158" s="16" t="str">
        <f>IF(A158="","",IF(Clean_Data!G158="","OK",IF(Clean_Data!G158&gt;16,"FLAG","OK")))</f>
        <v/>
      </c>
      <c r="G158" s="16" t="str">
        <f>IF(A158="","",IF(Clean_Data!H158="","FAIL","PASS"))</f>
        <v/>
      </c>
      <c r="H158" s="16" t="str">
        <f>IF(A158="","",IF(OR(Clean_Data!D158="",Clean_Data!K158="NO"),"FAIL","PASS"))</f>
        <v/>
      </c>
      <c r="I158" s="16" t="str">
        <f t="shared" si="6"/>
        <v/>
      </c>
      <c r="J158" s="17" t="str">
        <f t="shared" si="7"/>
        <v/>
      </c>
      <c r="K158" s="16" t="str">
        <f t="shared" si="8"/>
        <v/>
      </c>
    </row>
    <row r="159" spans="1:11" x14ac:dyDescent="0.35">
      <c r="A159" s="8" t="str">
        <f>Clean_Data!A159</f>
        <v/>
      </c>
      <c r="B159" s="16" t="str">
        <f>IF(A159="","",IF(Clean_Data!C159="","FAIL","PASS"))</f>
        <v/>
      </c>
      <c r="C159" s="16" t="str">
        <f>IF(A159="","",IF(AND(Clean_Data!C159&lt;&gt;"",Clean_Data!J159="NO"),"FAIL","PASS"))</f>
        <v/>
      </c>
      <c r="D159" s="16" t="str">
        <f>IF(A159="","",IF(Clean_Data!E159="","FAIL","PASS"))</f>
        <v/>
      </c>
      <c r="E159" s="16" t="str">
        <f>IF(A159="","",IF(Clean_Data!G159="","FAIL","PASS"))</f>
        <v/>
      </c>
      <c r="F159" s="16" t="str">
        <f>IF(A159="","",IF(Clean_Data!G159="","OK",IF(Clean_Data!G159&gt;16,"FLAG","OK")))</f>
        <v/>
      </c>
      <c r="G159" s="16" t="str">
        <f>IF(A159="","",IF(Clean_Data!H159="","FAIL","PASS"))</f>
        <v/>
      </c>
      <c r="H159" s="16" t="str">
        <f>IF(A159="","",IF(OR(Clean_Data!D159="",Clean_Data!K159="NO"),"FAIL","PASS"))</f>
        <v/>
      </c>
      <c r="I159" s="16" t="str">
        <f t="shared" si="6"/>
        <v/>
      </c>
      <c r="J159" s="17" t="str">
        <f t="shared" si="7"/>
        <v/>
      </c>
      <c r="K159" s="16" t="str">
        <f t="shared" si="8"/>
        <v/>
      </c>
    </row>
    <row r="160" spans="1:11" x14ac:dyDescent="0.35">
      <c r="A160" s="8" t="str">
        <f>Clean_Data!A160</f>
        <v/>
      </c>
      <c r="B160" s="16" t="str">
        <f>IF(A160="","",IF(Clean_Data!C160="","FAIL","PASS"))</f>
        <v/>
      </c>
      <c r="C160" s="16" t="str">
        <f>IF(A160="","",IF(AND(Clean_Data!C160&lt;&gt;"",Clean_Data!J160="NO"),"FAIL","PASS"))</f>
        <v/>
      </c>
      <c r="D160" s="16" t="str">
        <f>IF(A160="","",IF(Clean_Data!E160="","FAIL","PASS"))</f>
        <v/>
      </c>
      <c r="E160" s="16" t="str">
        <f>IF(A160="","",IF(Clean_Data!G160="","FAIL","PASS"))</f>
        <v/>
      </c>
      <c r="F160" s="16" t="str">
        <f>IF(A160="","",IF(Clean_Data!G160="","OK",IF(Clean_Data!G160&gt;16,"FLAG","OK")))</f>
        <v/>
      </c>
      <c r="G160" s="16" t="str">
        <f>IF(A160="","",IF(Clean_Data!H160="","FAIL","PASS"))</f>
        <v/>
      </c>
      <c r="H160" s="16" t="str">
        <f>IF(A160="","",IF(OR(Clean_Data!D160="",Clean_Data!K160="NO"),"FAIL","PASS"))</f>
        <v/>
      </c>
      <c r="I160" s="16" t="str">
        <f t="shared" si="6"/>
        <v/>
      </c>
      <c r="J160" s="17" t="str">
        <f t="shared" si="7"/>
        <v/>
      </c>
      <c r="K160" s="16" t="str">
        <f t="shared" si="8"/>
        <v/>
      </c>
    </row>
    <row r="161" spans="1:11" x14ac:dyDescent="0.35">
      <c r="A161" s="8" t="str">
        <f>Clean_Data!A161</f>
        <v/>
      </c>
      <c r="B161" s="16" t="str">
        <f>IF(A161="","",IF(Clean_Data!C161="","FAIL","PASS"))</f>
        <v/>
      </c>
      <c r="C161" s="16" t="str">
        <f>IF(A161="","",IF(AND(Clean_Data!C161&lt;&gt;"",Clean_Data!J161="NO"),"FAIL","PASS"))</f>
        <v/>
      </c>
      <c r="D161" s="16" t="str">
        <f>IF(A161="","",IF(Clean_Data!E161="","FAIL","PASS"))</f>
        <v/>
      </c>
      <c r="E161" s="16" t="str">
        <f>IF(A161="","",IF(Clean_Data!G161="","FAIL","PASS"))</f>
        <v/>
      </c>
      <c r="F161" s="16" t="str">
        <f>IF(A161="","",IF(Clean_Data!G161="","OK",IF(Clean_Data!G161&gt;16,"FLAG","OK")))</f>
        <v/>
      </c>
      <c r="G161" s="16" t="str">
        <f>IF(A161="","",IF(Clean_Data!H161="","FAIL","PASS"))</f>
        <v/>
      </c>
      <c r="H161" s="16" t="str">
        <f>IF(A161="","",IF(OR(Clean_Data!D161="",Clean_Data!K161="NO"),"FAIL","PASS"))</f>
        <v/>
      </c>
      <c r="I161" s="16" t="str">
        <f t="shared" si="6"/>
        <v/>
      </c>
      <c r="J161" s="17" t="str">
        <f t="shared" si="7"/>
        <v/>
      </c>
      <c r="K161" s="16" t="str">
        <f t="shared" si="8"/>
        <v/>
      </c>
    </row>
    <row r="162" spans="1:11" x14ac:dyDescent="0.35">
      <c r="A162" s="8" t="str">
        <f>Clean_Data!A162</f>
        <v/>
      </c>
      <c r="B162" s="16" t="str">
        <f>IF(A162="","",IF(Clean_Data!C162="","FAIL","PASS"))</f>
        <v/>
      </c>
      <c r="C162" s="16" t="str">
        <f>IF(A162="","",IF(AND(Clean_Data!C162&lt;&gt;"",Clean_Data!J162="NO"),"FAIL","PASS"))</f>
        <v/>
      </c>
      <c r="D162" s="16" t="str">
        <f>IF(A162="","",IF(Clean_Data!E162="","FAIL","PASS"))</f>
        <v/>
      </c>
      <c r="E162" s="16" t="str">
        <f>IF(A162="","",IF(Clean_Data!G162="","FAIL","PASS"))</f>
        <v/>
      </c>
      <c r="F162" s="16" t="str">
        <f>IF(A162="","",IF(Clean_Data!G162="","OK",IF(Clean_Data!G162&gt;16,"FLAG","OK")))</f>
        <v/>
      </c>
      <c r="G162" s="16" t="str">
        <f>IF(A162="","",IF(Clean_Data!H162="","FAIL","PASS"))</f>
        <v/>
      </c>
      <c r="H162" s="16" t="str">
        <f>IF(A162="","",IF(OR(Clean_Data!D162="",Clean_Data!K162="NO"),"FAIL","PASS"))</f>
        <v/>
      </c>
      <c r="I162" s="16" t="str">
        <f t="shared" si="6"/>
        <v/>
      </c>
      <c r="J162" s="17" t="str">
        <f t="shared" si="7"/>
        <v/>
      </c>
      <c r="K162" s="16" t="str">
        <f t="shared" si="8"/>
        <v/>
      </c>
    </row>
    <row r="163" spans="1:11" x14ac:dyDescent="0.35">
      <c r="A163" s="8" t="str">
        <f>Clean_Data!A163</f>
        <v/>
      </c>
      <c r="B163" s="16" t="str">
        <f>IF(A163="","",IF(Clean_Data!C163="","FAIL","PASS"))</f>
        <v/>
      </c>
      <c r="C163" s="16" t="str">
        <f>IF(A163="","",IF(AND(Clean_Data!C163&lt;&gt;"",Clean_Data!J163="NO"),"FAIL","PASS"))</f>
        <v/>
      </c>
      <c r="D163" s="16" t="str">
        <f>IF(A163="","",IF(Clean_Data!E163="","FAIL","PASS"))</f>
        <v/>
      </c>
      <c r="E163" s="16" t="str">
        <f>IF(A163="","",IF(Clean_Data!G163="","FAIL","PASS"))</f>
        <v/>
      </c>
      <c r="F163" s="16" t="str">
        <f>IF(A163="","",IF(Clean_Data!G163="","OK",IF(Clean_Data!G163&gt;16,"FLAG","OK")))</f>
        <v/>
      </c>
      <c r="G163" s="16" t="str">
        <f>IF(A163="","",IF(Clean_Data!H163="","FAIL","PASS"))</f>
        <v/>
      </c>
      <c r="H163" s="16" t="str">
        <f>IF(A163="","",IF(OR(Clean_Data!D163="",Clean_Data!K163="NO"),"FAIL","PASS"))</f>
        <v/>
      </c>
      <c r="I163" s="16" t="str">
        <f t="shared" si="6"/>
        <v/>
      </c>
      <c r="J163" s="17" t="str">
        <f t="shared" si="7"/>
        <v/>
      </c>
      <c r="K163" s="16" t="str">
        <f t="shared" si="8"/>
        <v/>
      </c>
    </row>
    <row r="164" spans="1:11" x14ac:dyDescent="0.35">
      <c r="A164" s="8" t="str">
        <f>Clean_Data!A164</f>
        <v/>
      </c>
      <c r="B164" s="16" t="str">
        <f>IF(A164="","",IF(Clean_Data!C164="","FAIL","PASS"))</f>
        <v/>
      </c>
      <c r="C164" s="16" t="str">
        <f>IF(A164="","",IF(AND(Clean_Data!C164&lt;&gt;"",Clean_Data!J164="NO"),"FAIL","PASS"))</f>
        <v/>
      </c>
      <c r="D164" s="16" t="str">
        <f>IF(A164="","",IF(Clean_Data!E164="","FAIL","PASS"))</f>
        <v/>
      </c>
      <c r="E164" s="16" t="str">
        <f>IF(A164="","",IF(Clean_Data!G164="","FAIL","PASS"))</f>
        <v/>
      </c>
      <c r="F164" s="16" t="str">
        <f>IF(A164="","",IF(Clean_Data!G164="","OK",IF(Clean_Data!G164&gt;16,"FLAG","OK")))</f>
        <v/>
      </c>
      <c r="G164" s="16" t="str">
        <f>IF(A164="","",IF(Clean_Data!H164="","FAIL","PASS"))</f>
        <v/>
      </c>
      <c r="H164" s="16" t="str">
        <f>IF(A164="","",IF(OR(Clean_Data!D164="",Clean_Data!K164="NO"),"FAIL","PASS"))</f>
        <v/>
      </c>
      <c r="I164" s="16" t="str">
        <f t="shared" si="6"/>
        <v/>
      </c>
      <c r="J164" s="17" t="str">
        <f t="shared" si="7"/>
        <v/>
      </c>
      <c r="K164" s="16" t="str">
        <f t="shared" si="8"/>
        <v/>
      </c>
    </row>
    <row r="165" spans="1:11" x14ac:dyDescent="0.35">
      <c r="A165" s="8" t="str">
        <f>Clean_Data!A165</f>
        <v/>
      </c>
      <c r="B165" s="16" t="str">
        <f>IF(A165="","",IF(Clean_Data!C165="","FAIL","PASS"))</f>
        <v/>
      </c>
      <c r="C165" s="16" t="str">
        <f>IF(A165="","",IF(AND(Clean_Data!C165&lt;&gt;"",Clean_Data!J165="NO"),"FAIL","PASS"))</f>
        <v/>
      </c>
      <c r="D165" s="16" t="str">
        <f>IF(A165="","",IF(Clean_Data!E165="","FAIL","PASS"))</f>
        <v/>
      </c>
      <c r="E165" s="16" t="str">
        <f>IF(A165="","",IF(Clean_Data!G165="","FAIL","PASS"))</f>
        <v/>
      </c>
      <c r="F165" s="16" t="str">
        <f>IF(A165="","",IF(Clean_Data!G165="","OK",IF(Clean_Data!G165&gt;16,"FLAG","OK")))</f>
        <v/>
      </c>
      <c r="G165" s="16" t="str">
        <f>IF(A165="","",IF(Clean_Data!H165="","FAIL","PASS"))</f>
        <v/>
      </c>
      <c r="H165" s="16" t="str">
        <f>IF(A165="","",IF(OR(Clean_Data!D165="",Clean_Data!K165="NO"),"FAIL","PASS"))</f>
        <v/>
      </c>
      <c r="I165" s="16" t="str">
        <f t="shared" si="6"/>
        <v/>
      </c>
      <c r="J165" s="17" t="str">
        <f t="shared" si="7"/>
        <v/>
      </c>
      <c r="K165" s="16" t="str">
        <f t="shared" si="8"/>
        <v/>
      </c>
    </row>
    <row r="166" spans="1:11" x14ac:dyDescent="0.35">
      <c r="A166" s="8" t="str">
        <f>Clean_Data!A166</f>
        <v/>
      </c>
      <c r="B166" s="16" t="str">
        <f>IF(A166="","",IF(Clean_Data!C166="","FAIL","PASS"))</f>
        <v/>
      </c>
      <c r="C166" s="16" t="str">
        <f>IF(A166="","",IF(AND(Clean_Data!C166&lt;&gt;"",Clean_Data!J166="NO"),"FAIL","PASS"))</f>
        <v/>
      </c>
      <c r="D166" s="16" t="str">
        <f>IF(A166="","",IF(Clean_Data!E166="","FAIL","PASS"))</f>
        <v/>
      </c>
      <c r="E166" s="16" t="str">
        <f>IF(A166="","",IF(Clean_Data!G166="","FAIL","PASS"))</f>
        <v/>
      </c>
      <c r="F166" s="16" t="str">
        <f>IF(A166="","",IF(Clean_Data!G166="","OK",IF(Clean_Data!G166&gt;16,"FLAG","OK")))</f>
        <v/>
      </c>
      <c r="G166" s="16" t="str">
        <f>IF(A166="","",IF(Clean_Data!H166="","FAIL","PASS"))</f>
        <v/>
      </c>
      <c r="H166" s="16" t="str">
        <f>IF(A166="","",IF(OR(Clean_Data!D166="",Clean_Data!K166="NO"),"FAIL","PASS"))</f>
        <v/>
      </c>
      <c r="I166" s="16" t="str">
        <f t="shared" si="6"/>
        <v/>
      </c>
      <c r="J166" s="17" t="str">
        <f t="shared" si="7"/>
        <v/>
      </c>
      <c r="K166" s="16" t="str">
        <f t="shared" si="8"/>
        <v/>
      </c>
    </row>
    <row r="167" spans="1:11" x14ac:dyDescent="0.35">
      <c r="A167" s="8" t="str">
        <f>Clean_Data!A167</f>
        <v/>
      </c>
      <c r="B167" s="16" t="str">
        <f>IF(A167="","",IF(Clean_Data!C167="","FAIL","PASS"))</f>
        <v/>
      </c>
      <c r="C167" s="16" t="str">
        <f>IF(A167="","",IF(AND(Clean_Data!C167&lt;&gt;"",Clean_Data!J167="NO"),"FAIL","PASS"))</f>
        <v/>
      </c>
      <c r="D167" s="16" t="str">
        <f>IF(A167="","",IF(Clean_Data!E167="","FAIL","PASS"))</f>
        <v/>
      </c>
      <c r="E167" s="16" t="str">
        <f>IF(A167="","",IF(Clean_Data!G167="","FAIL","PASS"))</f>
        <v/>
      </c>
      <c r="F167" s="16" t="str">
        <f>IF(A167="","",IF(Clean_Data!G167="","OK",IF(Clean_Data!G167&gt;16,"FLAG","OK")))</f>
        <v/>
      </c>
      <c r="G167" s="16" t="str">
        <f>IF(A167="","",IF(Clean_Data!H167="","FAIL","PASS"))</f>
        <v/>
      </c>
      <c r="H167" s="16" t="str">
        <f>IF(A167="","",IF(OR(Clean_Data!D167="",Clean_Data!K167="NO"),"FAIL","PASS"))</f>
        <v/>
      </c>
      <c r="I167" s="16" t="str">
        <f t="shared" si="6"/>
        <v/>
      </c>
      <c r="J167" s="17" t="str">
        <f t="shared" si="7"/>
        <v/>
      </c>
      <c r="K167" s="16" t="str">
        <f t="shared" si="8"/>
        <v/>
      </c>
    </row>
    <row r="168" spans="1:11" x14ac:dyDescent="0.35">
      <c r="A168" s="8" t="str">
        <f>Clean_Data!A168</f>
        <v/>
      </c>
      <c r="B168" s="16" t="str">
        <f>IF(A168="","",IF(Clean_Data!C168="","FAIL","PASS"))</f>
        <v/>
      </c>
      <c r="C168" s="16" t="str">
        <f>IF(A168="","",IF(AND(Clean_Data!C168&lt;&gt;"",Clean_Data!J168="NO"),"FAIL","PASS"))</f>
        <v/>
      </c>
      <c r="D168" s="16" t="str">
        <f>IF(A168="","",IF(Clean_Data!E168="","FAIL","PASS"))</f>
        <v/>
      </c>
      <c r="E168" s="16" t="str">
        <f>IF(A168="","",IF(Clean_Data!G168="","FAIL","PASS"))</f>
        <v/>
      </c>
      <c r="F168" s="16" t="str">
        <f>IF(A168="","",IF(Clean_Data!G168="","OK",IF(Clean_Data!G168&gt;16,"FLAG","OK")))</f>
        <v/>
      </c>
      <c r="G168" s="16" t="str">
        <f>IF(A168="","",IF(Clean_Data!H168="","FAIL","PASS"))</f>
        <v/>
      </c>
      <c r="H168" s="16" t="str">
        <f>IF(A168="","",IF(OR(Clean_Data!D168="",Clean_Data!K168="NO"),"FAIL","PASS"))</f>
        <v/>
      </c>
      <c r="I168" s="16" t="str">
        <f t="shared" si="6"/>
        <v/>
      </c>
      <c r="J168" s="17" t="str">
        <f t="shared" si="7"/>
        <v/>
      </c>
      <c r="K168" s="16" t="str">
        <f t="shared" si="8"/>
        <v/>
      </c>
    </row>
    <row r="169" spans="1:11" x14ac:dyDescent="0.35">
      <c r="A169" s="8" t="str">
        <f>Clean_Data!A169</f>
        <v/>
      </c>
      <c r="B169" s="16" t="str">
        <f>IF(A169="","",IF(Clean_Data!C169="","FAIL","PASS"))</f>
        <v/>
      </c>
      <c r="C169" s="16" t="str">
        <f>IF(A169="","",IF(AND(Clean_Data!C169&lt;&gt;"",Clean_Data!J169="NO"),"FAIL","PASS"))</f>
        <v/>
      </c>
      <c r="D169" s="16" t="str">
        <f>IF(A169="","",IF(Clean_Data!E169="","FAIL","PASS"))</f>
        <v/>
      </c>
      <c r="E169" s="16" t="str">
        <f>IF(A169="","",IF(Clean_Data!G169="","FAIL","PASS"))</f>
        <v/>
      </c>
      <c r="F169" s="16" t="str">
        <f>IF(A169="","",IF(Clean_Data!G169="","OK",IF(Clean_Data!G169&gt;16,"FLAG","OK")))</f>
        <v/>
      </c>
      <c r="G169" s="16" t="str">
        <f>IF(A169="","",IF(Clean_Data!H169="","FAIL","PASS"))</f>
        <v/>
      </c>
      <c r="H169" s="16" t="str">
        <f>IF(A169="","",IF(OR(Clean_Data!D169="",Clean_Data!K169="NO"),"FAIL","PASS"))</f>
        <v/>
      </c>
      <c r="I169" s="16" t="str">
        <f t="shared" si="6"/>
        <v/>
      </c>
      <c r="J169" s="17" t="str">
        <f t="shared" si="7"/>
        <v/>
      </c>
      <c r="K169" s="16" t="str">
        <f t="shared" si="8"/>
        <v/>
      </c>
    </row>
    <row r="170" spans="1:11" x14ac:dyDescent="0.35">
      <c r="A170" s="8" t="str">
        <f>Clean_Data!A170</f>
        <v/>
      </c>
      <c r="B170" s="16" t="str">
        <f>IF(A170="","",IF(Clean_Data!C170="","FAIL","PASS"))</f>
        <v/>
      </c>
      <c r="C170" s="16" t="str">
        <f>IF(A170="","",IF(AND(Clean_Data!C170&lt;&gt;"",Clean_Data!J170="NO"),"FAIL","PASS"))</f>
        <v/>
      </c>
      <c r="D170" s="16" t="str">
        <f>IF(A170="","",IF(Clean_Data!E170="","FAIL","PASS"))</f>
        <v/>
      </c>
      <c r="E170" s="16" t="str">
        <f>IF(A170="","",IF(Clean_Data!G170="","FAIL","PASS"))</f>
        <v/>
      </c>
      <c r="F170" s="16" t="str">
        <f>IF(A170="","",IF(Clean_Data!G170="","OK",IF(Clean_Data!G170&gt;16,"FLAG","OK")))</f>
        <v/>
      </c>
      <c r="G170" s="16" t="str">
        <f>IF(A170="","",IF(Clean_Data!H170="","FAIL","PASS"))</f>
        <v/>
      </c>
      <c r="H170" s="16" t="str">
        <f>IF(A170="","",IF(OR(Clean_Data!D170="",Clean_Data!K170="NO"),"FAIL","PASS"))</f>
        <v/>
      </c>
      <c r="I170" s="16" t="str">
        <f t="shared" si="6"/>
        <v/>
      </c>
      <c r="J170" s="17" t="str">
        <f t="shared" si="7"/>
        <v/>
      </c>
      <c r="K170" s="16" t="str">
        <f t="shared" si="8"/>
        <v/>
      </c>
    </row>
    <row r="171" spans="1:11" x14ac:dyDescent="0.35">
      <c r="A171" s="8" t="str">
        <f>Clean_Data!A171</f>
        <v/>
      </c>
      <c r="B171" s="16" t="str">
        <f>IF(A171="","",IF(Clean_Data!C171="","FAIL","PASS"))</f>
        <v/>
      </c>
      <c r="C171" s="16" t="str">
        <f>IF(A171="","",IF(AND(Clean_Data!C171&lt;&gt;"",Clean_Data!J171="NO"),"FAIL","PASS"))</f>
        <v/>
      </c>
      <c r="D171" s="16" t="str">
        <f>IF(A171="","",IF(Clean_Data!E171="","FAIL","PASS"))</f>
        <v/>
      </c>
      <c r="E171" s="16" t="str">
        <f>IF(A171="","",IF(Clean_Data!G171="","FAIL","PASS"))</f>
        <v/>
      </c>
      <c r="F171" s="16" t="str">
        <f>IF(A171="","",IF(Clean_Data!G171="","OK",IF(Clean_Data!G171&gt;16,"FLAG","OK")))</f>
        <v/>
      </c>
      <c r="G171" s="16" t="str">
        <f>IF(A171="","",IF(Clean_Data!H171="","FAIL","PASS"))</f>
        <v/>
      </c>
      <c r="H171" s="16" t="str">
        <f>IF(A171="","",IF(OR(Clean_Data!D171="",Clean_Data!K171="NO"),"FAIL","PASS"))</f>
        <v/>
      </c>
      <c r="I171" s="16" t="str">
        <f t="shared" si="6"/>
        <v/>
      </c>
      <c r="J171" s="17" t="str">
        <f t="shared" si="7"/>
        <v/>
      </c>
      <c r="K171" s="16" t="str">
        <f t="shared" si="8"/>
        <v/>
      </c>
    </row>
    <row r="172" spans="1:11" x14ac:dyDescent="0.35">
      <c r="A172" s="8" t="str">
        <f>Clean_Data!A172</f>
        <v/>
      </c>
      <c r="B172" s="16" t="str">
        <f>IF(A172="","",IF(Clean_Data!C172="","FAIL","PASS"))</f>
        <v/>
      </c>
      <c r="C172" s="16" t="str">
        <f>IF(A172="","",IF(AND(Clean_Data!C172&lt;&gt;"",Clean_Data!J172="NO"),"FAIL","PASS"))</f>
        <v/>
      </c>
      <c r="D172" s="16" t="str">
        <f>IF(A172="","",IF(Clean_Data!E172="","FAIL","PASS"))</f>
        <v/>
      </c>
      <c r="E172" s="16" t="str">
        <f>IF(A172="","",IF(Clean_Data!G172="","FAIL","PASS"))</f>
        <v/>
      </c>
      <c r="F172" s="16" t="str">
        <f>IF(A172="","",IF(Clean_Data!G172="","OK",IF(Clean_Data!G172&gt;16,"FLAG","OK")))</f>
        <v/>
      </c>
      <c r="G172" s="16" t="str">
        <f>IF(A172="","",IF(Clean_Data!H172="","FAIL","PASS"))</f>
        <v/>
      </c>
      <c r="H172" s="16" t="str">
        <f>IF(A172="","",IF(OR(Clean_Data!D172="",Clean_Data!K172="NO"),"FAIL","PASS"))</f>
        <v/>
      </c>
      <c r="I172" s="16" t="str">
        <f t="shared" si="6"/>
        <v/>
      </c>
      <c r="J172" s="17" t="str">
        <f t="shared" si="7"/>
        <v/>
      </c>
      <c r="K172" s="16" t="str">
        <f t="shared" si="8"/>
        <v/>
      </c>
    </row>
    <row r="173" spans="1:11" x14ac:dyDescent="0.35">
      <c r="A173" s="8" t="str">
        <f>Clean_Data!A173</f>
        <v/>
      </c>
      <c r="B173" s="16" t="str">
        <f>IF(A173="","",IF(Clean_Data!C173="","FAIL","PASS"))</f>
        <v/>
      </c>
      <c r="C173" s="16" t="str">
        <f>IF(A173="","",IF(AND(Clean_Data!C173&lt;&gt;"",Clean_Data!J173="NO"),"FAIL","PASS"))</f>
        <v/>
      </c>
      <c r="D173" s="16" t="str">
        <f>IF(A173="","",IF(Clean_Data!E173="","FAIL","PASS"))</f>
        <v/>
      </c>
      <c r="E173" s="16" t="str">
        <f>IF(A173="","",IF(Clean_Data!G173="","FAIL","PASS"))</f>
        <v/>
      </c>
      <c r="F173" s="16" t="str">
        <f>IF(A173="","",IF(Clean_Data!G173="","OK",IF(Clean_Data!G173&gt;16,"FLAG","OK")))</f>
        <v/>
      </c>
      <c r="G173" s="16" t="str">
        <f>IF(A173="","",IF(Clean_Data!H173="","FAIL","PASS"))</f>
        <v/>
      </c>
      <c r="H173" s="16" t="str">
        <f>IF(A173="","",IF(OR(Clean_Data!D173="",Clean_Data!K173="NO"),"FAIL","PASS"))</f>
        <v/>
      </c>
      <c r="I173" s="16" t="str">
        <f t="shared" si="6"/>
        <v/>
      </c>
      <c r="J173" s="17" t="str">
        <f t="shared" si="7"/>
        <v/>
      </c>
      <c r="K173" s="16" t="str">
        <f t="shared" si="8"/>
        <v/>
      </c>
    </row>
    <row r="174" spans="1:11" x14ac:dyDescent="0.35">
      <c r="A174" s="8" t="str">
        <f>Clean_Data!A174</f>
        <v/>
      </c>
      <c r="B174" s="16" t="str">
        <f>IF(A174="","",IF(Clean_Data!C174="","FAIL","PASS"))</f>
        <v/>
      </c>
      <c r="C174" s="16" t="str">
        <f>IF(A174="","",IF(AND(Clean_Data!C174&lt;&gt;"",Clean_Data!J174="NO"),"FAIL","PASS"))</f>
        <v/>
      </c>
      <c r="D174" s="16" t="str">
        <f>IF(A174="","",IF(Clean_Data!E174="","FAIL","PASS"))</f>
        <v/>
      </c>
      <c r="E174" s="16" t="str">
        <f>IF(A174="","",IF(Clean_Data!G174="","FAIL","PASS"))</f>
        <v/>
      </c>
      <c r="F174" s="16" t="str">
        <f>IF(A174="","",IF(Clean_Data!G174="","OK",IF(Clean_Data!G174&gt;16,"FLAG","OK")))</f>
        <v/>
      </c>
      <c r="G174" s="16" t="str">
        <f>IF(A174="","",IF(Clean_Data!H174="","FAIL","PASS"))</f>
        <v/>
      </c>
      <c r="H174" s="16" t="str">
        <f>IF(A174="","",IF(OR(Clean_Data!D174="",Clean_Data!K174="NO"),"FAIL","PASS"))</f>
        <v/>
      </c>
      <c r="I174" s="16" t="str">
        <f t="shared" si="6"/>
        <v/>
      </c>
      <c r="J174" s="17" t="str">
        <f t="shared" si="7"/>
        <v/>
      </c>
      <c r="K174" s="16" t="str">
        <f t="shared" si="8"/>
        <v/>
      </c>
    </row>
    <row r="175" spans="1:11" x14ac:dyDescent="0.35">
      <c r="A175" s="8" t="str">
        <f>Clean_Data!A175</f>
        <v/>
      </c>
      <c r="B175" s="16" t="str">
        <f>IF(A175="","",IF(Clean_Data!C175="","FAIL","PASS"))</f>
        <v/>
      </c>
      <c r="C175" s="16" t="str">
        <f>IF(A175="","",IF(AND(Clean_Data!C175&lt;&gt;"",Clean_Data!J175="NO"),"FAIL","PASS"))</f>
        <v/>
      </c>
      <c r="D175" s="16" t="str">
        <f>IF(A175="","",IF(Clean_Data!E175="","FAIL","PASS"))</f>
        <v/>
      </c>
      <c r="E175" s="16" t="str">
        <f>IF(A175="","",IF(Clean_Data!G175="","FAIL","PASS"))</f>
        <v/>
      </c>
      <c r="F175" s="16" t="str">
        <f>IF(A175="","",IF(Clean_Data!G175="","OK",IF(Clean_Data!G175&gt;16,"FLAG","OK")))</f>
        <v/>
      </c>
      <c r="G175" s="16" t="str">
        <f>IF(A175="","",IF(Clean_Data!H175="","FAIL","PASS"))</f>
        <v/>
      </c>
      <c r="H175" s="16" t="str">
        <f>IF(A175="","",IF(OR(Clean_Data!D175="",Clean_Data!K175="NO"),"FAIL","PASS"))</f>
        <v/>
      </c>
      <c r="I175" s="16" t="str">
        <f t="shared" si="6"/>
        <v/>
      </c>
      <c r="J175" s="17" t="str">
        <f t="shared" si="7"/>
        <v/>
      </c>
      <c r="K175" s="16" t="str">
        <f t="shared" si="8"/>
        <v/>
      </c>
    </row>
    <row r="176" spans="1:11" x14ac:dyDescent="0.35">
      <c r="A176" s="8" t="str">
        <f>Clean_Data!A176</f>
        <v/>
      </c>
      <c r="B176" s="16" t="str">
        <f>IF(A176="","",IF(Clean_Data!C176="","FAIL","PASS"))</f>
        <v/>
      </c>
      <c r="C176" s="16" t="str">
        <f>IF(A176="","",IF(AND(Clean_Data!C176&lt;&gt;"",Clean_Data!J176="NO"),"FAIL","PASS"))</f>
        <v/>
      </c>
      <c r="D176" s="16" t="str">
        <f>IF(A176="","",IF(Clean_Data!E176="","FAIL","PASS"))</f>
        <v/>
      </c>
      <c r="E176" s="16" t="str">
        <f>IF(A176="","",IF(Clean_Data!G176="","FAIL","PASS"))</f>
        <v/>
      </c>
      <c r="F176" s="16" t="str">
        <f>IF(A176="","",IF(Clean_Data!G176="","OK",IF(Clean_Data!G176&gt;16,"FLAG","OK")))</f>
        <v/>
      </c>
      <c r="G176" s="16" t="str">
        <f>IF(A176="","",IF(Clean_Data!H176="","FAIL","PASS"))</f>
        <v/>
      </c>
      <c r="H176" s="16" t="str">
        <f>IF(A176="","",IF(OR(Clean_Data!D176="",Clean_Data!K176="NO"),"FAIL","PASS"))</f>
        <v/>
      </c>
      <c r="I176" s="16" t="str">
        <f t="shared" si="6"/>
        <v/>
      </c>
      <c r="J176" s="17" t="str">
        <f t="shared" si="7"/>
        <v/>
      </c>
      <c r="K176" s="16" t="str">
        <f t="shared" si="8"/>
        <v/>
      </c>
    </row>
    <row r="177" spans="1:11" x14ac:dyDescent="0.35">
      <c r="A177" s="8" t="str">
        <f>Clean_Data!A177</f>
        <v/>
      </c>
      <c r="B177" s="16" t="str">
        <f>IF(A177="","",IF(Clean_Data!C177="","FAIL","PASS"))</f>
        <v/>
      </c>
      <c r="C177" s="16" t="str">
        <f>IF(A177="","",IF(AND(Clean_Data!C177&lt;&gt;"",Clean_Data!J177="NO"),"FAIL","PASS"))</f>
        <v/>
      </c>
      <c r="D177" s="16" t="str">
        <f>IF(A177="","",IF(Clean_Data!E177="","FAIL","PASS"))</f>
        <v/>
      </c>
      <c r="E177" s="16" t="str">
        <f>IF(A177="","",IF(Clean_Data!G177="","FAIL","PASS"))</f>
        <v/>
      </c>
      <c r="F177" s="16" t="str">
        <f>IF(A177="","",IF(Clean_Data!G177="","OK",IF(Clean_Data!G177&gt;16,"FLAG","OK")))</f>
        <v/>
      </c>
      <c r="G177" s="16" t="str">
        <f>IF(A177="","",IF(Clean_Data!H177="","FAIL","PASS"))</f>
        <v/>
      </c>
      <c r="H177" s="16" t="str">
        <f>IF(A177="","",IF(OR(Clean_Data!D177="",Clean_Data!K177="NO"),"FAIL","PASS"))</f>
        <v/>
      </c>
      <c r="I177" s="16" t="str">
        <f t="shared" si="6"/>
        <v/>
      </c>
      <c r="J177" s="17" t="str">
        <f t="shared" si="7"/>
        <v/>
      </c>
      <c r="K177" s="16" t="str">
        <f t="shared" si="8"/>
        <v/>
      </c>
    </row>
    <row r="178" spans="1:11" x14ac:dyDescent="0.35">
      <c r="A178" s="8" t="str">
        <f>Clean_Data!A178</f>
        <v/>
      </c>
      <c r="B178" s="16" t="str">
        <f>IF(A178="","",IF(Clean_Data!C178="","FAIL","PASS"))</f>
        <v/>
      </c>
      <c r="C178" s="16" t="str">
        <f>IF(A178="","",IF(AND(Clean_Data!C178&lt;&gt;"",Clean_Data!J178="NO"),"FAIL","PASS"))</f>
        <v/>
      </c>
      <c r="D178" s="16" t="str">
        <f>IF(A178="","",IF(Clean_Data!E178="","FAIL","PASS"))</f>
        <v/>
      </c>
      <c r="E178" s="16" t="str">
        <f>IF(A178="","",IF(Clean_Data!G178="","FAIL","PASS"))</f>
        <v/>
      </c>
      <c r="F178" s="16" t="str">
        <f>IF(A178="","",IF(Clean_Data!G178="","OK",IF(Clean_Data!G178&gt;16,"FLAG","OK")))</f>
        <v/>
      </c>
      <c r="G178" s="16" t="str">
        <f>IF(A178="","",IF(Clean_Data!H178="","FAIL","PASS"))</f>
        <v/>
      </c>
      <c r="H178" s="16" t="str">
        <f>IF(A178="","",IF(OR(Clean_Data!D178="",Clean_Data!K178="NO"),"FAIL","PASS"))</f>
        <v/>
      </c>
      <c r="I178" s="16" t="str">
        <f t="shared" si="6"/>
        <v/>
      </c>
      <c r="J178" s="17" t="str">
        <f t="shared" si="7"/>
        <v/>
      </c>
      <c r="K178" s="16" t="str">
        <f t="shared" si="8"/>
        <v/>
      </c>
    </row>
    <row r="179" spans="1:11" x14ac:dyDescent="0.35">
      <c r="A179" s="8" t="str">
        <f>Clean_Data!A179</f>
        <v/>
      </c>
      <c r="B179" s="16" t="str">
        <f>IF(A179="","",IF(Clean_Data!C179="","FAIL","PASS"))</f>
        <v/>
      </c>
      <c r="C179" s="16" t="str">
        <f>IF(A179="","",IF(AND(Clean_Data!C179&lt;&gt;"",Clean_Data!J179="NO"),"FAIL","PASS"))</f>
        <v/>
      </c>
      <c r="D179" s="16" t="str">
        <f>IF(A179="","",IF(Clean_Data!E179="","FAIL","PASS"))</f>
        <v/>
      </c>
      <c r="E179" s="16" t="str">
        <f>IF(A179="","",IF(Clean_Data!G179="","FAIL","PASS"))</f>
        <v/>
      </c>
      <c r="F179" s="16" t="str">
        <f>IF(A179="","",IF(Clean_Data!G179="","OK",IF(Clean_Data!G179&gt;16,"FLAG","OK")))</f>
        <v/>
      </c>
      <c r="G179" s="16" t="str">
        <f>IF(A179="","",IF(Clean_Data!H179="","FAIL","PASS"))</f>
        <v/>
      </c>
      <c r="H179" s="16" t="str">
        <f>IF(A179="","",IF(OR(Clean_Data!D179="",Clean_Data!K179="NO"),"FAIL","PASS"))</f>
        <v/>
      </c>
      <c r="I179" s="16" t="str">
        <f t="shared" si="6"/>
        <v/>
      </c>
      <c r="J179" s="17" t="str">
        <f t="shared" si="7"/>
        <v/>
      </c>
      <c r="K179" s="16" t="str">
        <f t="shared" si="8"/>
        <v/>
      </c>
    </row>
    <row r="180" spans="1:11" x14ac:dyDescent="0.35">
      <c r="A180" s="8" t="str">
        <f>Clean_Data!A180</f>
        <v/>
      </c>
      <c r="B180" s="16" t="str">
        <f>IF(A180="","",IF(Clean_Data!C180="","FAIL","PASS"))</f>
        <v/>
      </c>
      <c r="C180" s="16" t="str">
        <f>IF(A180="","",IF(AND(Clean_Data!C180&lt;&gt;"",Clean_Data!J180="NO"),"FAIL","PASS"))</f>
        <v/>
      </c>
      <c r="D180" s="16" t="str">
        <f>IF(A180="","",IF(Clean_Data!E180="","FAIL","PASS"))</f>
        <v/>
      </c>
      <c r="E180" s="16" t="str">
        <f>IF(A180="","",IF(Clean_Data!G180="","FAIL","PASS"))</f>
        <v/>
      </c>
      <c r="F180" s="16" t="str">
        <f>IF(A180="","",IF(Clean_Data!G180="","OK",IF(Clean_Data!G180&gt;16,"FLAG","OK")))</f>
        <v/>
      </c>
      <c r="G180" s="16" t="str">
        <f>IF(A180="","",IF(Clean_Data!H180="","FAIL","PASS"))</f>
        <v/>
      </c>
      <c r="H180" s="16" t="str">
        <f>IF(A180="","",IF(OR(Clean_Data!D180="",Clean_Data!K180="NO"),"FAIL","PASS"))</f>
        <v/>
      </c>
      <c r="I180" s="16" t="str">
        <f t="shared" si="6"/>
        <v/>
      </c>
      <c r="J180" s="17" t="str">
        <f t="shared" si="7"/>
        <v/>
      </c>
      <c r="K180" s="16" t="str">
        <f t="shared" si="8"/>
        <v/>
      </c>
    </row>
    <row r="181" spans="1:11" x14ac:dyDescent="0.35">
      <c r="A181" s="8" t="str">
        <f>Clean_Data!A181</f>
        <v/>
      </c>
      <c r="B181" s="16" t="str">
        <f>IF(A181="","",IF(Clean_Data!C181="","FAIL","PASS"))</f>
        <v/>
      </c>
      <c r="C181" s="16" t="str">
        <f>IF(A181="","",IF(AND(Clean_Data!C181&lt;&gt;"",Clean_Data!J181="NO"),"FAIL","PASS"))</f>
        <v/>
      </c>
      <c r="D181" s="16" t="str">
        <f>IF(A181="","",IF(Clean_Data!E181="","FAIL","PASS"))</f>
        <v/>
      </c>
      <c r="E181" s="16" t="str">
        <f>IF(A181="","",IF(Clean_Data!G181="","FAIL","PASS"))</f>
        <v/>
      </c>
      <c r="F181" s="16" t="str">
        <f>IF(A181="","",IF(Clean_Data!G181="","OK",IF(Clean_Data!G181&gt;16,"FLAG","OK")))</f>
        <v/>
      </c>
      <c r="G181" s="16" t="str">
        <f>IF(A181="","",IF(Clean_Data!H181="","FAIL","PASS"))</f>
        <v/>
      </c>
      <c r="H181" s="16" t="str">
        <f>IF(A181="","",IF(OR(Clean_Data!D181="",Clean_Data!K181="NO"),"FAIL","PASS"))</f>
        <v/>
      </c>
      <c r="I181" s="16" t="str">
        <f t="shared" si="6"/>
        <v/>
      </c>
      <c r="J181" s="17" t="str">
        <f t="shared" si="7"/>
        <v/>
      </c>
      <c r="K181" s="16" t="str">
        <f t="shared" si="8"/>
        <v/>
      </c>
    </row>
    <row r="182" spans="1:11" x14ac:dyDescent="0.35">
      <c r="A182" s="8" t="str">
        <f>Clean_Data!A182</f>
        <v/>
      </c>
      <c r="B182" s="16" t="str">
        <f>IF(A182="","",IF(Clean_Data!C182="","FAIL","PASS"))</f>
        <v/>
      </c>
      <c r="C182" s="16" t="str">
        <f>IF(A182="","",IF(AND(Clean_Data!C182&lt;&gt;"",Clean_Data!J182="NO"),"FAIL","PASS"))</f>
        <v/>
      </c>
      <c r="D182" s="16" t="str">
        <f>IF(A182="","",IF(Clean_Data!E182="","FAIL","PASS"))</f>
        <v/>
      </c>
      <c r="E182" s="16" t="str">
        <f>IF(A182="","",IF(Clean_Data!G182="","FAIL","PASS"))</f>
        <v/>
      </c>
      <c r="F182" s="16" t="str">
        <f>IF(A182="","",IF(Clean_Data!G182="","OK",IF(Clean_Data!G182&gt;16,"FLAG","OK")))</f>
        <v/>
      </c>
      <c r="G182" s="16" t="str">
        <f>IF(A182="","",IF(Clean_Data!H182="","FAIL","PASS"))</f>
        <v/>
      </c>
      <c r="H182" s="16" t="str">
        <f>IF(A182="","",IF(OR(Clean_Data!D182="",Clean_Data!K182="NO"),"FAIL","PASS"))</f>
        <v/>
      </c>
      <c r="I182" s="16" t="str">
        <f t="shared" si="6"/>
        <v/>
      </c>
      <c r="J182" s="17" t="str">
        <f t="shared" si="7"/>
        <v/>
      </c>
      <c r="K182" s="16" t="str">
        <f t="shared" si="8"/>
        <v/>
      </c>
    </row>
    <row r="183" spans="1:11" x14ac:dyDescent="0.35">
      <c r="A183" s="8" t="str">
        <f>Clean_Data!A183</f>
        <v/>
      </c>
      <c r="B183" s="16" t="str">
        <f>IF(A183="","",IF(Clean_Data!C183="","FAIL","PASS"))</f>
        <v/>
      </c>
      <c r="C183" s="16" t="str">
        <f>IF(A183="","",IF(AND(Clean_Data!C183&lt;&gt;"",Clean_Data!J183="NO"),"FAIL","PASS"))</f>
        <v/>
      </c>
      <c r="D183" s="16" t="str">
        <f>IF(A183="","",IF(Clean_Data!E183="","FAIL","PASS"))</f>
        <v/>
      </c>
      <c r="E183" s="16" t="str">
        <f>IF(A183="","",IF(Clean_Data!G183="","FAIL","PASS"))</f>
        <v/>
      </c>
      <c r="F183" s="16" t="str">
        <f>IF(A183="","",IF(Clean_Data!G183="","OK",IF(Clean_Data!G183&gt;16,"FLAG","OK")))</f>
        <v/>
      </c>
      <c r="G183" s="16" t="str">
        <f>IF(A183="","",IF(Clean_Data!H183="","FAIL","PASS"))</f>
        <v/>
      </c>
      <c r="H183" s="16" t="str">
        <f>IF(A183="","",IF(OR(Clean_Data!D183="",Clean_Data!K183="NO"),"FAIL","PASS"))</f>
        <v/>
      </c>
      <c r="I183" s="16" t="str">
        <f t="shared" si="6"/>
        <v/>
      </c>
      <c r="J183" s="17" t="str">
        <f t="shared" si="7"/>
        <v/>
      </c>
      <c r="K183" s="16" t="str">
        <f t="shared" si="8"/>
        <v/>
      </c>
    </row>
    <row r="184" spans="1:11" x14ac:dyDescent="0.35">
      <c r="A184" s="8" t="str">
        <f>Clean_Data!A184</f>
        <v/>
      </c>
      <c r="B184" s="16" t="str">
        <f>IF(A184="","",IF(Clean_Data!C184="","FAIL","PASS"))</f>
        <v/>
      </c>
      <c r="C184" s="16" t="str">
        <f>IF(A184="","",IF(AND(Clean_Data!C184&lt;&gt;"",Clean_Data!J184="NO"),"FAIL","PASS"))</f>
        <v/>
      </c>
      <c r="D184" s="16" t="str">
        <f>IF(A184="","",IF(Clean_Data!E184="","FAIL","PASS"))</f>
        <v/>
      </c>
      <c r="E184" s="16" t="str">
        <f>IF(A184="","",IF(Clean_Data!G184="","FAIL","PASS"))</f>
        <v/>
      </c>
      <c r="F184" s="16" t="str">
        <f>IF(A184="","",IF(Clean_Data!G184="","OK",IF(Clean_Data!G184&gt;16,"FLAG","OK")))</f>
        <v/>
      </c>
      <c r="G184" s="16" t="str">
        <f>IF(A184="","",IF(Clean_Data!H184="","FAIL","PASS"))</f>
        <v/>
      </c>
      <c r="H184" s="16" t="str">
        <f>IF(A184="","",IF(OR(Clean_Data!D184="",Clean_Data!K184="NO"),"FAIL","PASS"))</f>
        <v/>
      </c>
      <c r="I184" s="16" t="str">
        <f t="shared" si="6"/>
        <v/>
      </c>
      <c r="J184" s="17" t="str">
        <f t="shared" si="7"/>
        <v/>
      </c>
      <c r="K184" s="16" t="str">
        <f t="shared" si="8"/>
        <v/>
      </c>
    </row>
    <row r="185" spans="1:11" x14ac:dyDescent="0.35">
      <c r="A185" s="8" t="str">
        <f>Clean_Data!A185</f>
        <v/>
      </c>
      <c r="B185" s="16" t="str">
        <f>IF(A185="","",IF(Clean_Data!C185="","FAIL","PASS"))</f>
        <v/>
      </c>
      <c r="C185" s="16" t="str">
        <f>IF(A185="","",IF(AND(Clean_Data!C185&lt;&gt;"",Clean_Data!J185="NO"),"FAIL","PASS"))</f>
        <v/>
      </c>
      <c r="D185" s="16" t="str">
        <f>IF(A185="","",IF(Clean_Data!E185="","FAIL","PASS"))</f>
        <v/>
      </c>
      <c r="E185" s="16" t="str">
        <f>IF(A185="","",IF(Clean_Data!G185="","FAIL","PASS"))</f>
        <v/>
      </c>
      <c r="F185" s="16" t="str">
        <f>IF(A185="","",IF(Clean_Data!G185="","OK",IF(Clean_Data!G185&gt;16,"FLAG","OK")))</f>
        <v/>
      </c>
      <c r="G185" s="16" t="str">
        <f>IF(A185="","",IF(Clean_Data!H185="","FAIL","PASS"))</f>
        <v/>
      </c>
      <c r="H185" s="16" t="str">
        <f>IF(A185="","",IF(OR(Clean_Data!D185="",Clean_Data!K185="NO"),"FAIL","PASS"))</f>
        <v/>
      </c>
      <c r="I185" s="16" t="str">
        <f t="shared" si="6"/>
        <v/>
      </c>
      <c r="J185" s="17" t="str">
        <f t="shared" si="7"/>
        <v/>
      </c>
      <c r="K185" s="16" t="str">
        <f t="shared" si="8"/>
        <v/>
      </c>
    </row>
    <row r="186" spans="1:11" x14ac:dyDescent="0.35">
      <c r="A186" s="8" t="str">
        <f>Clean_Data!A186</f>
        <v/>
      </c>
      <c r="B186" s="16" t="str">
        <f>IF(A186="","",IF(Clean_Data!C186="","FAIL","PASS"))</f>
        <v/>
      </c>
      <c r="C186" s="16" t="str">
        <f>IF(A186="","",IF(AND(Clean_Data!C186&lt;&gt;"",Clean_Data!J186="NO"),"FAIL","PASS"))</f>
        <v/>
      </c>
      <c r="D186" s="16" t="str">
        <f>IF(A186="","",IF(Clean_Data!E186="","FAIL","PASS"))</f>
        <v/>
      </c>
      <c r="E186" s="16" t="str">
        <f>IF(A186="","",IF(Clean_Data!G186="","FAIL","PASS"))</f>
        <v/>
      </c>
      <c r="F186" s="16" t="str">
        <f>IF(A186="","",IF(Clean_Data!G186="","OK",IF(Clean_Data!G186&gt;16,"FLAG","OK")))</f>
        <v/>
      </c>
      <c r="G186" s="16" t="str">
        <f>IF(A186="","",IF(Clean_Data!H186="","FAIL","PASS"))</f>
        <v/>
      </c>
      <c r="H186" s="16" t="str">
        <f>IF(A186="","",IF(OR(Clean_Data!D186="",Clean_Data!K186="NO"),"FAIL","PASS"))</f>
        <v/>
      </c>
      <c r="I186" s="16" t="str">
        <f t="shared" si="6"/>
        <v/>
      </c>
      <c r="J186" s="17" t="str">
        <f t="shared" si="7"/>
        <v/>
      </c>
      <c r="K186" s="16" t="str">
        <f t="shared" si="8"/>
        <v/>
      </c>
    </row>
    <row r="187" spans="1:11" x14ac:dyDescent="0.35">
      <c r="A187" s="8" t="str">
        <f>Clean_Data!A187</f>
        <v/>
      </c>
      <c r="B187" s="16" t="str">
        <f>IF(A187="","",IF(Clean_Data!C187="","FAIL","PASS"))</f>
        <v/>
      </c>
      <c r="C187" s="16" t="str">
        <f>IF(A187="","",IF(AND(Clean_Data!C187&lt;&gt;"",Clean_Data!J187="NO"),"FAIL","PASS"))</f>
        <v/>
      </c>
      <c r="D187" s="16" t="str">
        <f>IF(A187="","",IF(Clean_Data!E187="","FAIL","PASS"))</f>
        <v/>
      </c>
      <c r="E187" s="16" t="str">
        <f>IF(A187="","",IF(Clean_Data!G187="","FAIL","PASS"))</f>
        <v/>
      </c>
      <c r="F187" s="16" t="str">
        <f>IF(A187="","",IF(Clean_Data!G187="","OK",IF(Clean_Data!G187&gt;16,"FLAG","OK")))</f>
        <v/>
      </c>
      <c r="G187" s="16" t="str">
        <f>IF(A187="","",IF(Clean_Data!H187="","FAIL","PASS"))</f>
        <v/>
      </c>
      <c r="H187" s="16" t="str">
        <f>IF(A187="","",IF(OR(Clean_Data!D187="",Clean_Data!K187="NO"),"FAIL","PASS"))</f>
        <v/>
      </c>
      <c r="I187" s="16" t="str">
        <f t="shared" si="6"/>
        <v/>
      </c>
      <c r="J187" s="17" t="str">
        <f t="shared" si="7"/>
        <v/>
      </c>
      <c r="K187" s="16" t="str">
        <f t="shared" si="8"/>
        <v/>
      </c>
    </row>
    <row r="188" spans="1:11" x14ac:dyDescent="0.35">
      <c r="A188" s="8" t="str">
        <f>Clean_Data!A188</f>
        <v/>
      </c>
      <c r="B188" s="16" t="str">
        <f>IF(A188="","",IF(Clean_Data!C188="","FAIL","PASS"))</f>
        <v/>
      </c>
      <c r="C188" s="16" t="str">
        <f>IF(A188="","",IF(AND(Clean_Data!C188&lt;&gt;"",Clean_Data!J188="NO"),"FAIL","PASS"))</f>
        <v/>
      </c>
      <c r="D188" s="16" t="str">
        <f>IF(A188="","",IF(Clean_Data!E188="","FAIL","PASS"))</f>
        <v/>
      </c>
      <c r="E188" s="16" t="str">
        <f>IF(A188="","",IF(Clean_Data!G188="","FAIL","PASS"))</f>
        <v/>
      </c>
      <c r="F188" s="16" t="str">
        <f>IF(A188="","",IF(Clean_Data!G188="","OK",IF(Clean_Data!G188&gt;16,"FLAG","OK")))</f>
        <v/>
      </c>
      <c r="G188" s="16" t="str">
        <f>IF(A188="","",IF(Clean_Data!H188="","FAIL","PASS"))</f>
        <v/>
      </c>
      <c r="H188" s="16" t="str">
        <f>IF(A188="","",IF(OR(Clean_Data!D188="",Clean_Data!K188="NO"),"FAIL","PASS"))</f>
        <v/>
      </c>
      <c r="I188" s="16" t="str">
        <f t="shared" si="6"/>
        <v/>
      </c>
      <c r="J188" s="17" t="str">
        <f t="shared" si="7"/>
        <v/>
      </c>
      <c r="K188" s="16" t="str">
        <f t="shared" si="8"/>
        <v/>
      </c>
    </row>
    <row r="189" spans="1:11" x14ac:dyDescent="0.35">
      <c r="A189" s="8" t="str">
        <f>Clean_Data!A189</f>
        <v/>
      </c>
      <c r="B189" s="16" t="str">
        <f>IF(A189="","",IF(Clean_Data!C189="","FAIL","PASS"))</f>
        <v/>
      </c>
      <c r="C189" s="16" t="str">
        <f>IF(A189="","",IF(AND(Clean_Data!C189&lt;&gt;"",Clean_Data!J189="NO"),"FAIL","PASS"))</f>
        <v/>
      </c>
      <c r="D189" s="16" t="str">
        <f>IF(A189="","",IF(Clean_Data!E189="","FAIL","PASS"))</f>
        <v/>
      </c>
      <c r="E189" s="16" t="str">
        <f>IF(A189="","",IF(Clean_Data!G189="","FAIL","PASS"))</f>
        <v/>
      </c>
      <c r="F189" s="16" t="str">
        <f>IF(A189="","",IF(Clean_Data!G189="","OK",IF(Clean_Data!G189&gt;16,"FLAG","OK")))</f>
        <v/>
      </c>
      <c r="G189" s="16" t="str">
        <f>IF(A189="","",IF(Clean_Data!H189="","FAIL","PASS"))</f>
        <v/>
      </c>
      <c r="H189" s="16" t="str">
        <f>IF(A189="","",IF(OR(Clean_Data!D189="",Clean_Data!K189="NO"),"FAIL","PASS"))</f>
        <v/>
      </c>
      <c r="I189" s="16" t="str">
        <f t="shared" si="6"/>
        <v/>
      </c>
      <c r="J189" s="17" t="str">
        <f t="shared" si="7"/>
        <v/>
      </c>
      <c r="K189" s="16" t="str">
        <f t="shared" si="8"/>
        <v/>
      </c>
    </row>
    <row r="190" spans="1:11" x14ac:dyDescent="0.35">
      <c r="A190" s="8" t="str">
        <f>Clean_Data!A190</f>
        <v/>
      </c>
      <c r="B190" s="16" t="str">
        <f>IF(A190="","",IF(Clean_Data!C190="","FAIL","PASS"))</f>
        <v/>
      </c>
      <c r="C190" s="16" t="str">
        <f>IF(A190="","",IF(AND(Clean_Data!C190&lt;&gt;"",Clean_Data!J190="NO"),"FAIL","PASS"))</f>
        <v/>
      </c>
      <c r="D190" s="16" t="str">
        <f>IF(A190="","",IF(Clean_Data!E190="","FAIL","PASS"))</f>
        <v/>
      </c>
      <c r="E190" s="16" t="str">
        <f>IF(A190="","",IF(Clean_Data!G190="","FAIL","PASS"))</f>
        <v/>
      </c>
      <c r="F190" s="16" t="str">
        <f>IF(A190="","",IF(Clean_Data!G190="","OK",IF(Clean_Data!G190&gt;16,"FLAG","OK")))</f>
        <v/>
      </c>
      <c r="G190" s="16" t="str">
        <f>IF(A190="","",IF(Clean_Data!H190="","FAIL","PASS"))</f>
        <v/>
      </c>
      <c r="H190" s="16" t="str">
        <f>IF(A190="","",IF(OR(Clean_Data!D190="",Clean_Data!K190="NO"),"FAIL","PASS"))</f>
        <v/>
      </c>
      <c r="I190" s="16" t="str">
        <f t="shared" si="6"/>
        <v/>
      </c>
      <c r="J190" s="17" t="str">
        <f t="shared" si="7"/>
        <v/>
      </c>
      <c r="K190" s="16" t="str">
        <f t="shared" si="8"/>
        <v/>
      </c>
    </row>
    <row r="191" spans="1:11" x14ac:dyDescent="0.35">
      <c r="A191" s="8" t="str">
        <f>Clean_Data!A191</f>
        <v/>
      </c>
      <c r="B191" s="16" t="str">
        <f>IF(A191="","",IF(Clean_Data!C191="","FAIL","PASS"))</f>
        <v/>
      </c>
      <c r="C191" s="16" t="str">
        <f>IF(A191="","",IF(AND(Clean_Data!C191&lt;&gt;"",Clean_Data!J191="NO"),"FAIL","PASS"))</f>
        <v/>
      </c>
      <c r="D191" s="16" t="str">
        <f>IF(A191="","",IF(Clean_Data!E191="","FAIL","PASS"))</f>
        <v/>
      </c>
      <c r="E191" s="16" t="str">
        <f>IF(A191="","",IF(Clean_Data!G191="","FAIL","PASS"))</f>
        <v/>
      </c>
      <c r="F191" s="16" t="str">
        <f>IF(A191="","",IF(Clean_Data!G191="","OK",IF(Clean_Data!G191&gt;16,"FLAG","OK")))</f>
        <v/>
      </c>
      <c r="G191" s="16" t="str">
        <f>IF(A191="","",IF(Clean_Data!H191="","FAIL","PASS"))</f>
        <v/>
      </c>
      <c r="H191" s="16" t="str">
        <f>IF(A191="","",IF(OR(Clean_Data!D191="",Clean_Data!K191="NO"),"FAIL","PASS"))</f>
        <v/>
      </c>
      <c r="I191" s="16" t="str">
        <f t="shared" si="6"/>
        <v/>
      </c>
      <c r="J191" s="17" t="str">
        <f t="shared" si="7"/>
        <v/>
      </c>
      <c r="K191" s="16" t="str">
        <f t="shared" si="8"/>
        <v/>
      </c>
    </row>
    <row r="192" spans="1:11" x14ac:dyDescent="0.35">
      <c r="A192" s="8" t="str">
        <f>Clean_Data!A192</f>
        <v/>
      </c>
      <c r="B192" s="16" t="str">
        <f>IF(A192="","",IF(Clean_Data!C192="","FAIL","PASS"))</f>
        <v/>
      </c>
      <c r="C192" s="16" t="str">
        <f>IF(A192="","",IF(AND(Clean_Data!C192&lt;&gt;"",Clean_Data!J192="NO"),"FAIL","PASS"))</f>
        <v/>
      </c>
      <c r="D192" s="16" t="str">
        <f>IF(A192="","",IF(Clean_Data!E192="","FAIL","PASS"))</f>
        <v/>
      </c>
      <c r="E192" s="16" t="str">
        <f>IF(A192="","",IF(Clean_Data!G192="","FAIL","PASS"))</f>
        <v/>
      </c>
      <c r="F192" s="16" t="str">
        <f>IF(A192="","",IF(Clean_Data!G192="","OK",IF(Clean_Data!G192&gt;16,"FLAG","OK")))</f>
        <v/>
      </c>
      <c r="G192" s="16" t="str">
        <f>IF(A192="","",IF(Clean_Data!H192="","FAIL","PASS"))</f>
        <v/>
      </c>
      <c r="H192" s="16" t="str">
        <f>IF(A192="","",IF(OR(Clean_Data!D192="",Clean_Data!K192="NO"),"FAIL","PASS"))</f>
        <v/>
      </c>
      <c r="I192" s="16" t="str">
        <f t="shared" si="6"/>
        <v/>
      </c>
      <c r="J192" s="17" t="str">
        <f t="shared" si="7"/>
        <v/>
      </c>
      <c r="K192" s="16" t="str">
        <f t="shared" si="8"/>
        <v/>
      </c>
    </row>
    <row r="193" spans="1:11" x14ac:dyDescent="0.35">
      <c r="A193" s="8" t="str">
        <f>Clean_Data!A193</f>
        <v/>
      </c>
      <c r="B193" s="16" t="str">
        <f>IF(A193="","",IF(Clean_Data!C193="","FAIL","PASS"))</f>
        <v/>
      </c>
      <c r="C193" s="16" t="str">
        <f>IF(A193="","",IF(AND(Clean_Data!C193&lt;&gt;"",Clean_Data!J193="NO"),"FAIL","PASS"))</f>
        <v/>
      </c>
      <c r="D193" s="16" t="str">
        <f>IF(A193="","",IF(Clean_Data!E193="","FAIL","PASS"))</f>
        <v/>
      </c>
      <c r="E193" s="16" t="str">
        <f>IF(A193="","",IF(Clean_Data!G193="","FAIL","PASS"))</f>
        <v/>
      </c>
      <c r="F193" s="16" t="str">
        <f>IF(A193="","",IF(Clean_Data!G193="","OK",IF(Clean_Data!G193&gt;16,"FLAG","OK")))</f>
        <v/>
      </c>
      <c r="G193" s="16" t="str">
        <f>IF(A193="","",IF(Clean_Data!H193="","FAIL","PASS"))</f>
        <v/>
      </c>
      <c r="H193" s="16" t="str">
        <f>IF(A193="","",IF(OR(Clean_Data!D193="",Clean_Data!K193="NO"),"FAIL","PASS"))</f>
        <v/>
      </c>
      <c r="I193" s="16" t="str">
        <f t="shared" si="6"/>
        <v/>
      </c>
      <c r="J193" s="17" t="str">
        <f t="shared" si="7"/>
        <v/>
      </c>
      <c r="K193" s="16" t="str">
        <f t="shared" si="8"/>
        <v/>
      </c>
    </row>
    <row r="194" spans="1:11" x14ac:dyDescent="0.35">
      <c r="A194" s="8" t="str">
        <f>Clean_Data!A194</f>
        <v/>
      </c>
      <c r="B194" s="16" t="str">
        <f>IF(A194="","",IF(Clean_Data!C194="","FAIL","PASS"))</f>
        <v/>
      </c>
      <c r="C194" s="16" t="str">
        <f>IF(A194="","",IF(AND(Clean_Data!C194&lt;&gt;"",Clean_Data!J194="NO"),"FAIL","PASS"))</f>
        <v/>
      </c>
      <c r="D194" s="16" t="str">
        <f>IF(A194="","",IF(Clean_Data!E194="","FAIL","PASS"))</f>
        <v/>
      </c>
      <c r="E194" s="16" t="str">
        <f>IF(A194="","",IF(Clean_Data!G194="","FAIL","PASS"))</f>
        <v/>
      </c>
      <c r="F194" s="16" t="str">
        <f>IF(A194="","",IF(Clean_Data!G194="","OK",IF(Clean_Data!G194&gt;16,"FLAG","OK")))</f>
        <v/>
      </c>
      <c r="G194" s="16" t="str">
        <f>IF(A194="","",IF(Clean_Data!H194="","FAIL","PASS"))</f>
        <v/>
      </c>
      <c r="H194" s="16" t="str">
        <f>IF(A194="","",IF(OR(Clean_Data!D194="",Clean_Data!K194="NO"),"FAIL","PASS"))</f>
        <v/>
      </c>
      <c r="I194" s="16" t="str">
        <f t="shared" si="6"/>
        <v/>
      </c>
      <c r="J194" s="17" t="str">
        <f t="shared" si="7"/>
        <v/>
      </c>
      <c r="K194" s="16" t="str">
        <f t="shared" si="8"/>
        <v/>
      </c>
    </row>
    <row r="195" spans="1:11" x14ac:dyDescent="0.35">
      <c r="A195" s="8" t="str">
        <f>Clean_Data!A195</f>
        <v/>
      </c>
      <c r="B195" s="16" t="str">
        <f>IF(A195="","",IF(Clean_Data!C195="","FAIL","PASS"))</f>
        <v/>
      </c>
      <c r="C195" s="16" t="str">
        <f>IF(A195="","",IF(AND(Clean_Data!C195&lt;&gt;"",Clean_Data!J195="NO"),"FAIL","PASS"))</f>
        <v/>
      </c>
      <c r="D195" s="16" t="str">
        <f>IF(A195="","",IF(Clean_Data!E195="","FAIL","PASS"))</f>
        <v/>
      </c>
      <c r="E195" s="16" t="str">
        <f>IF(A195="","",IF(Clean_Data!G195="","FAIL","PASS"))</f>
        <v/>
      </c>
      <c r="F195" s="16" t="str">
        <f>IF(A195="","",IF(Clean_Data!G195="","OK",IF(Clean_Data!G195&gt;16,"FLAG","OK")))</f>
        <v/>
      </c>
      <c r="G195" s="16" t="str">
        <f>IF(A195="","",IF(Clean_Data!H195="","FAIL","PASS"))</f>
        <v/>
      </c>
      <c r="H195" s="16" t="str">
        <f>IF(A195="","",IF(OR(Clean_Data!D195="",Clean_Data!K195="NO"),"FAIL","PASS"))</f>
        <v/>
      </c>
      <c r="I195" s="16" t="str">
        <f t="shared" si="6"/>
        <v/>
      </c>
      <c r="J195" s="17" t="str">
        <f t="shared" si="7"/>
        <v/>
      </c>
      <c r="K195" s="16" t="str">
        <f t="shared" si="8"/>
        <v/>
      </c>
    </row>
    <row r="196" spans="1:11" x14ac:dyDescent="0.35">
      <c r="A196" s="8" t="str">
        <f>Clean_Data!A196</f>
        <v/>
      </c>
      <c r="B196" s="16" t="str">
        <f>IF(A196="","",IF(Clean_Data!C196="","FAIL","PASS"))</f>
        <v/>
      </c>
      <c r="C196" s="16" t="str">
        <f>IF(A196="","",IF(AND(Clean_Data!C196&lt;&gt;"",Clean_Data!J196="NO"),"FAIL","PASS"))</f>
        <v/>
      </c>
      <c r="D196" s="16" t="str">
        <f>IF(A196="","",IF(Clean_Data!E196="","FAIL","PASS"))</f>
        <v/>
      </c>
      <c r="E196" s="16" t="str">
        <f>IF(A196="","",IF(Clean_Data!G196="","FAIL","PASS"))</f>
        <v/>
      </c>
      <c r="F196" s="16" t="str">
        <f>IF(A196="","",IF(Clean_Data!G196="","OK",IF(Clean_Data!G196&gt;16,"FLAG","OK")))</f>
        <v/>
      </c>
      <c r="G196" s="16" t="str">
        <f>IF(A196="","",IF(Clean_Data!H196="","FAIL","PASS"))</f>
        <v/>
      </c>
      <c r="H196" s="16" t="str">
        <f>IF(A196="","",IF(OR(Clean_Data!D196="",Clean_Data!K196="NO"),"FAIL","PASS"))</f>
        <v/>
      </c>
      <c r="I196" s="16" t="str">
        <f t="shared" ref="I196:I259" si="9">IF(A196="","",IF(COUNTIF(B196:H196,"FAIL")&gt;0,"ERROR",IF(COUNTIF(B196:H196,"FLAG")&gt;0,"REVIEW","OK")))</f>
        <v/>
      </c>
      <c r="J196" s="17" t="str">
        <f t="shared" ref="J196:J259" si="10">IF(A196="","",IF(B196="FAIL",300,0)+IF(C196="FAIL",350,0)+IF(D196="FAIL",250,0)+IF(E196="FAIL",400,0)+IF(F196="FLAG",150,0)+IF(G196="FAIL",200,0)+IF(H196="FAIL",200,0))</f>
        <v/>
      </c>
      <c r="K196" s="16" t="str">
        <f t="shared" ref="K196:K259" si="11">IF(A196="","",IF(B196="FAIL","Missing name",IF(C196="FAIL","Unknown lineman",IF(D196="FAIL","Missing job",IF(E196="FAIL","Invalid hours",IF(F196="FLAG","Hours outlier",IF(G196="FAIL","Missing area",IF(H196="FAIL","Missing foreman","OK"))))))))</f>
        <v/>
      </c>
    </row>
    <row r="197" spans="1:11" x14ac:dyDescent="0.35">
      <c r="A197" s="8" t="str">
        <f>Clean_Data!A197</f>
        <v/>
      </c>
      <c r="B197" s="16" t="str">
        <f>IF(A197="","",IF(Clean_Data!C197="","FAIL","PASS"))</f>
        <v/>
      </c>
      <c r="C197" s="16" t="str">
        <f>IF(A197="","",IF(AND(Clean_Data!C197&lt;&gt;"",Clean_Data!J197="NO"),"FAIL","PASS"))</f>
        <v/>
      </c>
      <c r="D197" s="16" t="str">
        <f>IF(A197="","",IF(Clean_Data!E197="","FAIL","PASS"))</f>
        <v/>
      </c>
      <c r="E197" s="16" t="str">
        <f>IF(A197="","",IF(Clean_Data!G197="","FAIL","PASS"))</f>
        <v/>
      </c>
      <c r="F197" s="16" t="str">
        <f>IF(A197="","",IF(Clean_Data!G197="","OK",IF(Clean_Data!G197&gt;16,"FLAG","OK")))</f>
        <v/>
      </c>
      <c r="G197" s="16" t="str">
        <f>IF(A197="","",IF(Clean_Data!H197="","FAIL","PASS"))</f>
        <v/>
      </c>
      <c r="H197" s="16" t="str">
        <f>IF(A197="","",IF(OR(Clean_Data!D197="",Clean_Data!K197="NO"),"FAIL","PASS"))</f>
        <v/>
      </c>
      <c r="I197" s="16" t="str">
        <f t="shared" si="9"/>
        <v/>
      </c>
      <c r="J197" s="17" t="str">
        <f t="shared" si="10"/>
        <v/>
      </c>
      <c r="K197" s="16" t="str">
        <f t="shared" si="11"/>
        <v/>
      </c>
    </row>
    <row r="198" spans="1:11" x14ac:dyDescent="0.35">
      <c r="A198" s="8" t="str">
        <f>Clean_Data!A198</f>
        <v/>
      </c>
      <c r="B198" s="16" t="str">
        <f>IF(A198="","",IF(Clean_Data!C198="","FAIL","PASS"))</f>
        <v/>
      </c>
      <c r="C198" s="16" t="str">
        <f>IF(A198="","",IF(AND(Clean_Data!C198&lt;&gt;"",Clean_Data!J198="NO"),"FAIL","PASS"))</f>
        <v/>
      </c>
      <c r="D198" s="16" t="str">
        <f>IF(A198="","",IF(Clean_Data!E198="","FAIL","PASS"))</f>
        <v/>
      </c>
      <c r="E198" s="16" t="str">
        <f>IF(A198="","",IF(Clean_Data!G198="","FAIL","PASS"))</f>
        <v/>
      </c>
      <c r="F198" s="16" t="str">
        <f>IF(A198="","",IF(Clean_Data!G198="","OK",IF(Clean_Data!G198&gt;16,"FLAG","OK")))</f>
        <v/>
      </c>
      <c r="G198" s="16" t="str">
        <f>IF(A198="","",IF(Clean_Data!H198="","FAIL","PASS"))</f>
        <v/>
      </c>
      <c r="H198" s="16" t="str">
        <f>IF(A198="","",IF(OR(Clean_Data!D198="",Clean_Data!K198="NO"),"FAIL","PASS"))</f>
        <v/>
      </c>
      <c r="I198" s="16" t="str">
        <f t="shared" si="9"/>
        <v/>
      </c>
      <c r="J198" s="17" t="str">
        <f t="shared" si="10"/>
        <v/>
      </c>
      <c r="K198" s="16" t="str">
        <f t="shared" si="11"/>
        <v/>
      </c>
    </row>
    <row r="199" spans="1:11" x14ac:dyDescent="0.35">
      <c r="A199" s="8" t="str">
        <f>Clean_Data!A199</f>
        <v/>
      </c>
      <c r="B199" s="16" t="str">
        <f>IF(A199="","",IF(Clean_Data!C199="","FAIL","PASS"))</f>
        <v/>
      </c>
      <c r="C199" s="16" t="str">
        <f>IF(A199="","",IF(AND(Clean_Data!C199&lt;&gt;"",Clean_Data!J199="NO"),"FAIL","PASS"))</f>
        <v/>
      </c>
      <c r="D199" s="16" t="str">
        <f>IF(A199="","",IF(Clean_Data!E199="","FAIL","PASS"))</f>
        <v/>
      </c>
      <c r="E199" s="16" t="str">
        <f>IF(A199="","",IF(Clean_Data!G199="","FAIL","PASS"))</f>
        <v/>
      </c>
      <c r="F199" s="16" t="str">
        <f>IF(A199="","",IF(Clean_Data!G199="","OK",IF(Clean_Data!G199&gt;16,"FLAG","OK")))</f>
        <v/>
      </c>
      <c r="G199" s="16" t="str">
        <f>IF(A199="","",IF(Clean_Data!H199="","FAIL","PASS"))</f>
        <v/>
      </c>
      <c r="H199" s="16" t="str">
        <f>IF(A199="","",IF(OR(Clean_Data!D199="",Clean_Data!K199="NO"),"FAIL","PASS"))</f>
        <v/>
      </c>
      <c r="I199" s="16" t="str">
        <f t="shared" si="9"/>
        <v/>
      </c>
      <c r="J199" s="17" t="str">
        <f t="shared" si="10"/>
        <v/>
      </c>
      <c r="K199" s="16" t="str">
        <f t="shared" si="11"/>
        <v/>
      </c>
    </row>
    <row r="200" spans="1:11" x14ac:dyDescent="0.35">
      <c r="A200" s="8" t="str">
        <f>Clean_Data!A200</f>
        <v/>
      </c>
      <c r="B200" s="16" t="str">
        <f>IF(A200="","",IF(Clean_Data!C200="","FAIL","PASS"))</f>
        <v/>
      </c>
      <c r="C200" s="16" t="str">
        <f>IF(A200="","",IF(AND(Clean_Data!C200&lt;&gt;"",Clean_Data!J200="NO"),"FAIL","PASS"))</f>
        <v/>
      </c>
      <c r="D200" s="16" t="str">
        <f>IF(A200="","",IF(Clean_Data!E200="","FAIL","PASS"))</f>
        <v/>
      </c>
      <c r="E200" s="16" t="str">
        <f>IF(A200="","",IF(Clean_Data!G200="","FAIL","PASS"))</f>
        <v/>
      </c>
      <c r="F200" s="16" t="str">
        <f>IF(A200="","",IF(Clean_Data!G200="","OK",IF(Clean_Data!G200&gt;16,"FLAG","OK")))</f>
        <v/>
      </c>
      <c r="G200" s="16" t="str">
        <f>IF(A200="","",IF(Clean_Data!H200="","FAIL","PASS"))</f>
        <v/>
      </c>
      <c r="H200" s="16" t="str">
        <f>IF(A200="","",IF(OR(Clean_Data!D200="",Clean_Data!K200="NO"),"FAIL","PASS"))</f>
        <v/>
      </c>
      <c r="I200" s="16" t="str">
        <f t="shared" si="9"/>
        <v/>
      </c>
      <c r="J200" s="17" t="str">
        <f t="shared" si="10"/>
        <v/>
      </c>
      <c r="K200" s="16" t="str">
        <f t="shared" si="11"/>
        <v/>
      </c>
    </row>
    <row r="201" spans="1:11" x14ac:dyDescent="0.35">
      <c r="A201" s="8" t="str">
        <f>Clean_Data!A201</f>
        <v/>
      </c>
      <c r="B201" s="16" t="str">
        <f>IF(A201="","",IF(Clean_Data!C201="","FAIL","PASS"))</f>
        <v/>
      </c>
      <c r="C201" s="16" t="str">
        <f>IF(A201="","",IF(AND(Clean_Data!C201&lt;&gt;"",Clean_Data!J201="NO"),"FAIL","PASS"))</f>
        <v/>
      </c>
      <c r="D201" s="16" t="str">
        <f>IF(A201="","",IF(Clean_Data!E201="","FAIL","PASS"))</f>
        <v/>
      </c>
      <c r="E201" s="16" t="str">
        <f>IF(A201="","",IF(Clean_Data!G201="","FAIL","PASS"))</f>
        <v/>
      </c>
      <c r="F201" s="16" t="str">
        <f>IF(A201="","",IF(Clean_Data!G201="","OK",IF(Clean_Data!G201&gt;16,"FLAG","OK")))</f>
        <v/>
      </c>
      <c r="G201" s="16" t="str">
        <f>IF(A201="","",IF(Clean_Data!H201="","FAIL","PASS"))</f>
        <v/>
      </c>
      <c r="H201" s="16" t="str">
        <f>IF(A201="","",IF(OR(Clean_Data!D201="",Clean_Data!K201="NO"),"FAIL","PASS"))</f>
        <v/>
      </c>
      <c r="I201" s="16" t="str">
        <f t="shared" si="9"/>
        <v/>
      </c>
      <c r="J201" s="17" t="str">
        <f t="shared" si="10"/>
        <v/>
      </c>
      <c r="K201" s="16" t="str">
        <f t="shared" si="11"/>
        <v/>
      </c>
    </row>
    <row r="202" spans="1:11" x14ac:dyDescent="0.35">
      <c r="A202" s="8" t="str">
        <f>Clean_Data!A202</f>
        <v/>
      </c>
      <c r="B202" s="16" t="str">
        <f>IF(A202="","",IF(Clean_Data!C202="","FAIL","PASS"))</f>
        <v/>
      </c>
      <c r="C202" s="16" t="str">
        <f>IF(A202="","",IF(AND(Clean_Data!C202&lt;&gt;"",Clean_Data!J202="NO"),"FAIL","PASS"))</f>
        <v/>
      </c>
      <c r="D202" s="16" t="str">
        <f>IF(A202="","",IF(Clean_Data!E202="","FAIL","PASS"))</f>
        <v/>
      </c>
      <c r="E202" s="16" t="str">
        <f>IF(A202="","",IF(Clean_Data!G202="","FAIL","PASS"))</f>
        <v/>
      </c>
      <c r="F202" s="16" t="str">
        <f>IF(A202="","",IF(Clean_Data!G202="","OK",IF(Clean_Data!G202&gt;16,"FLAG","OK")))</f>
        <v/>
      </c>
      <c r="G202" s="16" t="str">
        <f>IF(A202="","",IF(Clean_Data!H202="","FAIL","PASS"))</f>
        <v/>
      </c>
      <c r="H202" s="16" t="str">
        <f>IF(A202="","",IF(OR(Clean_Data!D202="",Clean_Data!K202="NO"),"FAIL","PASS"))</f>
        <v/>
      </c>
      <c r="I202" s="16" t="str">
        <f t="shared" si="9"/>
        <v/>
      </c>
      <c r="J202" s="17" t="str">
        <f t="shared" si="10"/>
        <v/>
      </c>
      <c r="K202" s="16" t="str">
        <f t="shared" si="11"/>
        <v/>
      </c>
    </row>
    <row r="203" spans="1:11" x14ac:dyDescent="0.35">
      <c r="A203" s="8" t="str">
        <f>Clean_Data!A203</f>
        <v/>
      </c>
      <c r="B203" s="16" t="str">
        <f>IF(A203="","",IF(Clean_Data!C203="","FAIL","PASS"))</f>
        <v/>
      </c>
      <c r="C203" s="16" t="str">
        <f>IF(A203="","",IF(AND(Clean_Data!C203&lt;&gt;"",Clean_Data!J203="NO"),"FAIL","PASS"))</f>
        <v/>
      </c>
      <c r="D203" s="16" t="str">
        <f>IF(A203="","",IF(Clean_Data!E203="","FAIL","PASS"))</f>
        <v/>
      </c>
      <c r="E203" s="16" t="str">
        <f>IF(A203="","",IF(Clean_Data!G203="","FAIL","PASS"))</f>
        <v/>
      </c>
      <c r="F203" s="16" t="str">
        <f>IF(A203="","",IF(Clean_Data!G203="","OK",IF(Clean_Data!G203&gt;16,"FLAG","OK")))</f>
        <v/>
      </c>
      <c r="G203" s="16" t="str">
        <f>IF(A203="","",IF(Clean_Data!H203="","FAIL","PASS"))</f>
        <v/>
      </c>
      <c r="H203" s="16" t="str">
        <f>IF(A203="","",IF(OR(Clean_Data!D203="",Clean_Data!K203="NO"),"FAIL","PASS"))</f>
        <v/>
      </c>
      <c r="I203" s="16" t="str">
        <f t="shared" si="9"/>
        <v/>
      </c>
      <c r="J203" s="17" t="str">
        <f t="shared" si="10"/>
        <v/>
      </c>
      <c r="K203" s="16" t="str">
        <f t="shared" si="11"/>
        <v/>
      </c>
    </row>
    <row r="204" spans="1:11" x14ac:dyDescent="0.35">
      <c r="A204" s="8" t="str">
        <f>Clean_Data!A204</f>
        <v/>
      </c>
      <c r="B204" s="16" t="str">
        <f>IF(A204="","",IF(Clean_Data!C204="","FAIL","PASS"))</f>
        <v/>
      </c>
      <c r="C204" s="16" t="str">
        <f>IF(A204="","",IF(AND(Clean_Data!C204&lt;&gt;"",Clean_Data!J204="NO"),"FAIL","PASS"))</f>
        <v/>
      </c>
      <c r="D204" s="16" t="str">
        <f>IF(A204="","",IF(Clean_Data!E204="","FAIL","PASS"))</f>
        <v/>
      </c>
      <c r="E204" s="16" t="str">
        <f>IF(A204="","",IF(Clean_Data!G204="","FAIL","PASS"))</f>
        <v/>
      </c>
      <c r="F204" s="16" t="str">
        <f>IF(A204="","",IF(Clean_Data!G204="","OK",IF(Clean_Data!G204&gt;16,"FLAG","OK")))</f>
        <v/>
      </c>
      <c r="G204" s="16" t="str">
        <f>IF(A204="","",IF(Clean_Data!H204="","FAIL","PASS"))</f>
        <v/>
      </c>
      <c r="H204" s="16" t="str">
        <f>IF(A204="","",IF(OR(Clean_Data!D204="",Clean_Data!K204="NO"),"FAIL","PASS"))</f>
        <v/>
      </c>
      <c r="I204" s="16" t="str">
        <f t="shared" si="9"/>
        <v/>
      </c>
      <c r="J204" s="17" t="str">
        <f t="shared" si="10"/>
        <v/>
      </c>
      <c r="K204" s="16" t="str">
        <f t="shared" si="11"/>
        <v/>
      </c>
    </row>
    <row r="205" spans="1:11" x14ac:dyDescent="0.35">
      <c r="A205" s="8" t="str">
        <f>Clean_Data!A205</f>
        <v/>
      </c>
      <c r="B205" s="16" t="str">
        <f>IF(A205="","",IF(Clean_Data!C205="","FAIL","PASS"))</f>
        <v/>
      </c>
      <c r="C205" s="16" t="str">
        <f>IF(A205="","",IF(AND(Clean_Data!C205&lt;&gt;"",Clean_Data!J205="NO"),"FAIL","PASS"))</f>
        <v/>
      </c>
      <c r="D205" s="16" t="str">
        <f>IF(A205="","",IF(Clean_Data!E205="","FAIL","PASS"))</f>
        <v/>
      </c>
      <c r="E205" s="16" t="str">
        <f>IF(A205="","",IF(Clean_Data!G205="","FAIL","PASS"))</f>
        <v/>
      </c>
      <c r="F205" s="16" t="str">
        <f>IF(A205="","",IF(Clean_Data!G205="","OK",IF(Clean_Data!G205&gt;16,"FLAG","OK")))</f>
        <v/>
      </c>
      <c r="G205" s="16" t="str">
        <f>IF(A205="","",IF(Clean_Data!H205="","FAIL","PASS"))</f>
        <v/>
      </c>
      <c r="H205" s="16" t="str">
        <f>IF(A205="","",IF(OR(Clean_Data!D205="",Clean_Data!K205="NO"),"FAIL","PASS"))</f>
        <v/>
      </c>
      <c r="I205" s="16" t="str">
        <f t="shared" si="9"/>
        <v/>
      </c>
      <c r="J205" s="17" t="str">
        <f t="shared" si="10"/>
        <v/>
      </c>
      <c r="K205" s="16" t="str">
        <f t="shared" si="11"/>
        <v/>
      </c>
    </row>
    <row r="206" spans="1:11" x14ac:dyDescent="0.35">
      <c r="A206" s="8" t="str">
        <f>Clean_Data!A206</f>
        <v/>
      </c>
      <c r="B206" s="16" t="str">
        <f>IF(A206="","",IF(Clean_Data!C206="","FAIL","PASS"))</f>
        <v/>
      </c>
      <c r="C206" s="16" t="str">
        <f>IF(A206="","",IF(AND(Clean_Data!C206&lt;&gt;"",Clean_Data!J206="NO"),"FAIL","PASS"))</f>
        <v/>
      </c>
      <c r="D206" s="16" t="str">
        <f>IF(A206="","",IF(Clean_Data!E206="","FAIL","PASS"))</f>
        <v/>
      </c>
      <c r="E206" s="16" t="str">
        <f>IF(A206="","",IF(Clean_Data!G206="","FAIL","PASS"))</f>
        <v/>
      </c>
      <c r="F206" s="16" t="str">
        <f>IF(A206="","",IF(Clean_Data!G206="","OK",IF(Clean_Data!G206&gt;16,"FLAG","OK")))</f>
        <v/>
      </c>
      <c r="G206" s="16" t="str">
        <f>IF(A206="","",IF(Clean_Data!H206="","FAIL","PASS"))</f>
        <v/>
      </c>
      <c r="H206" s="16" t="str">
        <f>IF(A206="","",IF(OR(Clean_Data!D206="",Clean_Data!K206="NO"),"FAIL","PASS"))</f>
        <v/>
      </c>
      <c r="I206" s="16" t="str">
        <f t="shared" si="9"/>
        <v/>
      </c>
      <c r="J206" s="17" t="str">
        <f t="shared" si="10"/>
        <v/>
      </c>
      <c r="K206" s="16" t="str">
        <f t="shared" si="11"/>
        <v/>
      </c>
    </row>
    <row r="207" spans="1:11" x14ac:dyDescent="0.35">
      <c r="A207" s="8" t="str">
        <f>Clean_Data!A207</f>
        <v/>
      </c>
      <c r="B207" s="16" t="str">
        <f>IF(A207="","",IF(Clean_Data!C207="","FAIL","PASS"))</f>
        <v/>
      </c>
      <c r="C207" s="16" t="str">
        <f>IF(A207="","",IF(AND(Clean_Data!C207&lt;&gt;"",Clean_Data!J207="NO"),"FAIL","PASS"))</f>
        <v/>
      </c>
      <c r="D207" s="16" t="str">
        <f>IF(A207="","",IF(Clean_Data!E207="","FAIL","PASS"))</f>
        <v/>
      </c>
      <c r="E207" s="16" t="str">
        <f>IF(A207="","",IF(Clean_Data!G207="","FAIL","PASS"))</f>
        <v/>
      </c>
      <c r="F207" s="16" t="str">
        <f>IF(A207="","",IF(Clean_Data!G207="","OK",IF(Clean_Data!G207&gt;16,"FLAG","OK")))</f>
        <v/>
      </c>
      <c r="G207" s="16" t="str">
        <f>IF(A207="","",IF(Clean_Data!H207="","FAIL","PASS"))</f>
        <v/>
      </c>
      <c r="H207" s="16" t="str">
        <f>IF(A207="","",IF(OR(Clean_Data!D207="",Clean_Data!K207="NO"),"FAIL","PASS"))</f>
        <v/>
      </c>
      <c r="I207" s="16" t="str">
        <f t="shared" si="9"/>
        <v/>
      </c>
      <c r="J207" s="17" t="str">
        <f t="shared" si="10"/>
        <v/>
      </c>
      <c r="K207" s="16" t="str">
        <f t="shared" si="11"/>
        <v/>
      </c>
    </row>
    <row r="208" spans="1:11" x14ac:dyDescent="0.35">
      <c r="A208" s="8" t="str">
        <f>Clean_Data!A208</f>
        <v/>
      </c>
      <c r="B208" s="16" t="str">
        <f>IF(A208="","",IF(Clean_Data!C208="","FAIL","PASS"))</f>
        <v/>
      </c>
      <c r="C208" s="16" t="str">
        <f>IF(A208="","",IF(AND(Clean_Data!C208&lt;&gt;"",Clean_Data!J208="NO"),"FAIL","PASS"))</f>
        <v/>
      </c>
      <c r="D208" s="16" t="str">
        <f>IF(A208="","",IF(Clean_Data!E208="","FAIL","PASS"))</f>
        <v/>
      </c>
      <c r="E208" s="16" t="str">
        <f>IF(A208="","",IF(Clean_Data!G208="","FAIL","PASS"))</f>
        <v/>
      </c>
      <c r="F208" s="16" t="str">
        <f>IF(A208="","",IF(Clean_Data!G208="","OK",IF(Clean_Data!G208&gt;16,"FLAG","OK")))</f>
        <v/>
      </c>
      <c r="G208" s="16" t="str">
        <f>IF(A208="","",IF(Clean_Data!H208="","FAIL","PASS"))</f>
        <v/>
      </c>
      <c r="H208" s="16" t="str">
        <f>IF(A208="","",IF(OR(Clean_Data!D208="",Clean_Data!K208="NO"),"FAIL","PASS"))</f>
        <v/>
      </c>
      <c r="I208" s="16" t="str">
        <f t="shared" si="9"/>
        <v/>
      </c>
      <c r="J208" s="17" t="str">
        <f t="shared" si="10"/>
        <v/>
      </c>
      <c r="K208" s="16" t="str">
        <f t="shared" si="11"/>
        <v/>
      </c>
    </row>
    <row r="209" spans="1:11" x14ac:dyDescent="0.35">
      <c r="A209" s="8" t="str">
        <f>Clean_Data!A209</f>
        <v/>
      </c>
      <c r="B209" s="16" t="str">
        <f>IF(A209="","",IF(Clean_Data!C209="","FAIL","PASS"))</f>
        <v/>
      </c>
      <c r="C209" s="16" t="str">
        <f>IF(A209="","",IF(AND(Clean_Data!C209&lt;&gt;"",Clean_Data!J209="NO"),"FAIL","PASS"))</f>
        <v/>
      </c>
      <c r="D209" s="16" t="str">
        <f>IF(A209="","",IF(Clean_Data!E209="","FAIL","PASS"))</f>
        <v/>
      </c>
      <c r="E209" s="16" t="str">
        <f>IF(A209="","",IF(Clean_Data!G209="","FAIL","PASS"))</f>
        <v/>
      </c>
      <c r="F209" s="16" t="str">
        <f>IF(A209="","",IF(Clean_Data!G209="","OK",IF(Clean_Data!G209&gt;16,"FLAG","OK")))</f>
        <v/>
      </c>
      <c r="G209" s="16" t="str">
        <f>IF(A209="","",IF(Clean_Data!H209="","FAIL","PASS"))</f>
        <v/>
      </c>
      <c r="H209" s="16" t="str">
        <f>IF(A209="","",IF(OR(Clean_Data!D209="",Clean_Data!K209="NO"),"FAIL","PASS"))</f>
        <v/>
      </c>
      <c r="I209" s="16" t="str">
        <f t="shared" si="9"/>
        <v/>
      </c>
      <c r="J209" s="17" t="str">
        <f t="shared" si="10"/>
        <v/>
      </c>
      <c r="K209" s="16" t="str">
        <f t="shared" si="11"/>
        <v/>
      </c>
    </row>
    <row r="210" spans="1:11" x14ac:dyDescent="0.35">
      <c r="A210" s="8" t="str">
        <f>Clean_Data!A210</f>
        <v/>
      </c>
      <c r="B210" s="16" t="str">
        <f>IF(A210="","",IF(Clean_Data!C210="","FAIL","PASS"))</f>
        <v/>
      </c>
      <c r="C210" s="16" t="str">
        <f>IF(A210="","",IF(AND(Clean_Data!C210&lt;&gt;"",Clean_Data!J210="NO"),"FAIL","PASS"))</f>
        <v/>
      </c>
      <c r="D210" s="16" t="str">
        <f>IF(A210="","",IF(Clean_Data!E210="","FAIL","PASS"))</f>
        <v/>
      </c>
      <c r="E210" s="16" t="str">
        <f>IF(A210="","",IF(Clean_Data!G210="","FAIL","PASS"))</f>
        <v/>
      </c>
      <c r="F210" s="16" t="str">
        <f>IF(A210="","",IF(Clean_Data!G210="","OK",IF(Clean_Data!G210&gt;16,"FLAG","OK")))</f>
        <v/>
      </c>
      <c r="G210" s="16" t="str">
        <f>IF(A210="","",IF(Clean_Data!H210="","FAIL","PASS"))</f>
        <v/>
      </c>
      <c r="H210" s="16" t="str">
        <f>IF(A210="","",IF(OR(Clean_Data!D210="",Clean_Data!K210="NO"),"FAIL","PASS"))</f>
        <v/>
      </c>
      <c r="I210" s="16" t="str">
        <f t="shared" si="9"/>
        <v/>
      </c>
      <c r="J210" s="17" t="str">
        <f t="shared" si="10"/>
        <v/>
      </c>
      <c r="K210" s="16" t="str">
        <f t="shared" si="11"/>
        <v/>
      </c>
    </row>
    <row r="211" spans="1:11" x14ac:dyDescent="0.35">
      <c r="A211" s="8" t="str">
        <f>Clean_Data!A211</f>
        <v/>
      </c>
      <c r="B211" s="16" t="str">
        <f>IF(A211="","",IF(Clean_Data!C211="","FAIL","PASS"))</f>
        <v/>
      </c>
      <c r="C211" s="16" t="str">
        <f>IF(A211="","",IF(AND(Clean_Data!C211&lt;&gt;"",Clean_Data!J211="NO"),"FAIL","PASS"))</f>
        <v/>
      </c>
      <c r="D211" s="16" t="str">
        <f>IF(A211="","",IF(Clean_Data!E211="","FAIL","PASS"))</f>
        <v/>
      </c>
      <c r="E211" s="16" t="str">
        <f>IF(A211="","",IF(Clean_Data!G211="","FAIL","PASS"))</f>
        <v/>
      </c>
      <c r="F211" s="16" t="str">
        <f>IF(A211="","",IF(Clean_Data!G211="","OK",IF(Clean_Data!G211&gt;16,"FLAG","OK")))</f>
        <v/>
      </c>
      <c r="G211" s="16" t="str">
        <f>IF(A211="","",IF(Clean_Data!H211="","FAIL","PASS"))</f>
        <v/>
      </c>
      <c r="H211" s="16" t="str">
        <f>IF(A211="","",IF(OR(Clean_Data!D211="",Clean_Data!K211="NO"),"FAIL","PASS"))</f>
        <v/>
      </c>
      <c r="I211" s="16" t="str">
        <f t="shared" si="9"/>
        <v/>
      </c>
      <c r="J211" s="17" t="str">
        <f t="shared" si="10"/>
        <v/>
      </c>
      <c r="K211" s="16" t="str">
        <f t="shared" si="11"/>
        <v/>
      </c>
    </row>
    <row r="212" spans="1:11" x14ac:dyDescent="0.35">
      <c r="A212" s="8" t="str">
        <f>Clean_Data!A212</f>
        <v/>
      </c>
      <c r="B212" s="16" t="str">
        <f>IF(A212="","",IF(Clean_Data!C212="","FAIL","PASS"))</f>
        <v/>
      </c>
      <c r="C212" s="16" t="str">
        <f>IF(A212="","",IF(AND(Clean_Data!C212&lt;&gt;"",Clean_Data!J212="NO"),"FAIL","PASS"))</f>
        <v/>
      </c>
      <c r="D212" s="16" t="str">
        <f>IF(A212="","",IF(Clean_Data!E212="","FAIL","PASS"))</f>
        <v/>
      </c>
      <c r="E212" s="16" t="str">
        <f>IF(A212="","",IF(Clean_Data!G212="","FAIL","PASS"))</f>
        <v/>
      </c>
      <c r="F212" s="16" t="str">
        <f>IF(A212="","",IF(Clean_Data!G212="","OK",IF(Clean_Data!G212&gt;16,"FLAG","OK")))</f>
        <v/>
      </c>
      <c r="G212" s="16" t="str">
        <f>IF(A212="","",IF(Clean_Data!H212="","FAIL","PASS"))</f>
        <v/>
      </c>
      <c r="H212" s="16" t="str">
        <f>IF(A212="","",IF(OR(Clean_Data!D212="",Clean_Data!K212="NO"),"FAIL","PASS"))</f>
        <v/>
      </c>
      <c r="I212" s="16" t="str">
        <f t="shared" si="9"/>
        <v/>
      </c>
      <c r="J212" s="17" t="str">
        <f t="shared" si="10"/>
        <v/>
      </c>
      <c r="K212" s="16" t="str">
        <f t="shared" si="11"/>
        <v/>
      </c>
    </row>
    <row r="213" spans="1:11" x14ac:dyDescent="0.35">
      <c r="A213" s="8" t="str">
        <f>Clean_Data!A213</f>
        <v/>
      </c>
      <c r="B213" s="16" t="str">
        <f>IF(A213="","",IF(Clean_Data!C213="","FAIL","PASS"))</f>
        <v/>
      </c>
      <c r="C213" s="16" t="str">
        <f>IF(A213="","",IF(AND(Clean_Data!C213&lt;&gt;"",Clean_Data!J213="NO"),"FAIL","PASS"))</f>
        <v/>
      </c>
      <c r="D213" s="16" t="str">
        <f>IF(A213="","",IF(Clean_Data!E213="","FAIL","PASS"))</f>
        <v/>
      </c>
      <c r="E213" s="16" t="str">
        <f>IF(A213="","",IF(Clean_Data!G213="","FAIL","PASS"))</f>
        <v/>
      </c>
      <c r="F213" s="16" t="str">
        <f>IF(A213="","",IF(Clean_Data!G213="","OK",IF(Clean_Data!G213&gt;16,"FLAG","OK")))</f>
        <v/>
      </c>
      <c r="G213" s="16" t="str">
        <f>IF(A213="","",IF(Clean_Data!H213="","FAIL","PASS"))</f>
        <v/>
      </c>
      <c r="H213" s="16" t="str">
        <f>IF(A213="","",IF(OR(Clean_Data!D213="",Clean_Data!K213="NO"),"FAIL","PASS"))</f>
        <v/>
      </c>
      <c r="I213" s="16" t="str">
        <f t="shared" si="9"/>
        <v/>
      </c>
      <c r="J213" s="17" t="str">
        <f t="shared" si="10"/>
        <v/>
      </c>
      <c r="K213" s="16" t="str">
        <f t="shared" si="11"/>
        <v/>
      </c>
    </row>
    <row r="214" spans="1:11" x14ac:dyDescent="0.35">
      <c r="A214" s="8" t="str">
        <f>Clean_Data!A214</f>
        <v/>
      </c>
      <c r="B214" s="16" t="str">
        <f>IF(A214="","",IF(Clean_Data!C214="","FAIL","PASS"))</f>
        <v/>
      </c>
      <c r="C214" s="16" t="str">
        <f>IF(A214="","",IF(AND(Clean_Data!C214&lt;&gt;"",Clean_Data!J214="NO"),"FAIL","PASS"))</f>
        <v/>
      </c>
      <c r="D214" s="16" t="str">
        <f>IF(A214="","",IF(Clean_Data!E214="","FAIL","PASS"))</f>
        <v/>
      </c>
      <c r="E214" s="16" t="str">
        <f>IF(A214="","",IF(Clean_Data!G214="","FAIL","PASS"))</f>
        <v/>
      </c>
      <c r="F214" s="16" t="str">
        <f>IF(A214="","",IF(Clean_Data!G214="","OK",IF(Clean_Data!G214&gt;16,"FLAG","OK")))</f>
        <v/>
      </c>
      <c r="G214" s="16" t="str">
        <f>IF(A214="","",IF(Clean_Data!H214="","FAIL","PASS"))</f>
        <v/>
      </c>
      <c r="H214" s="16" t="str">
        <f>IF(A214="","",IF(OR(Clean_Data!D214="",Clean_Data!K214="NO"),"FAIL","PASS"))</f>
        <v/>
      </c>
      <c r="I214" s="16" t="str">
        <f t="shared" si="9"/>
        <v/>
      </c>
      <c r="J214" s="17" t="str">
        <f t="shared" si="10"/>
        <v/>
      </c>
      <c r="K214" s="16" t="str">
        <f t="shared" si="11"/>
        <v/>
      </c>
    </row>
    <row r="215" spans="1:11" x14ac:dyDescent="0.35">
      <c r="A215" s="8" t="str">
        <f>Clean_Data!A215</f>
        <v/>
      </c>
      <c r="B215" s="16" t="str">
        <f>IF(A215="","",IF(Clean_Data!C215="","FAIL","PASS"))</f>
        <v/>
      </c>
      <c r="C215" s="16" t="str">
        <f>IF(A215="","",IF(AND(Clean_Data!C215&lt;&gt;"",Clean_Data!J215="NO"),"FAIL","PASS"))</f>
        <v/>
      </c>
      <c r="D215" s="16" t="str">
        <f>IF(A215="","",IF(Clean_Data!E215="","FAIL","PASS"))</f>
        <v/>
      </c>
      <c r="E215" s="16" t="str">
        <f>IF(A215="","",IF(Clean_Data!G215="","FAIL","PASS"))</f>
        <v/>
      </c>
      <c r="F215" s="16" t="str">
        <f>IF(A215="","",IF(Clean_Data!G215="","OK",IF(Clean_Data!G215&gt;16,"FLAG","OK")))</f>
        <v/>
      </c>
      <c r="G215" s="16" t="str">
        <f>IF(A215="","",IF(Clean_Data!H215="","FAIL","PASS"))</f>
        <v/>
      </c>
      <c r="H215" s="16" t="str">
        <f>IF(A215="","",IF(OR(Clean_Data!D215="",Clean_Data!K215="NO"),"FAIL","PASS"))</f>
        <v/>
      </c>
      <c r="I215" s="16" t="str">
        <f t="shared" si="9"/>
        <v/>
      </c>
      <c r="J215" s="17" t="str">
        <f t="shared" si="10"/>
        <v/>
      </c>
      <c r="K215" s="16" t="str">
        <f t="shared" si="11"/>
        <v/>
      </c>
    </row>
    <row r="216" spans="1:11" x14ac:dyDescent="0.35">
      <c r="A216" s="8" t="str">
        <f>Clean_Data!A216</f>
        <v/>
      </c>
      <c r="B216" s="16" t="str">
        <f>IF(A216="","",IF(Clean_Data!C216="","FAIL","PASS"))</f>
        <v/>
      </c>
      <c r="C216" s="16" t="str">
        <f>IF(A216="","",IF(AND(Clean_Data!C216&lt;&gt;"",Clean_Data!J216="NO"),"FAIL","PASS"))</f>
        <v/>
      </c>
      <c r="D216" s="16" t="str">
        <f>IF(A216="","",IF(Clean_Data!E216="","FAIL","PASS"))</f>
        <v/>
      </c>
      <c r="E216" s="16" t="str">
        <f>IF(A216="","",IF(Clean_Data!G216="","FAIL","PASS"))</f>
        <v/>
      </c>
      <c r="F216" s="16" t="str">
        <f>IF(A216="","",IF(Clean_Data!G216="","OK",IF(Clean_Data!G216&gt;16,"FLAG","OK")))</f>
        <v/>
      </c>
      <c r="G216" s="16" t="str">
        <f>IF(A216="","",IF(Clean_Data!H216="","FAIL","PASS"))</f>
        <v/>
      </c>
      <c r="H216" s="16" t="str">
        <f>IF(A216="","",IF(OR(Clean_Data!D216="",Clean_Data!K216="NO"),"FAIL","PASS"))</f>
        <v/>
      </c>
      <c r="I216" s="16" t="str">
        <f t="shared" si="9"/>
        <v/>
      </c>
      <c r="J216" s="17" t="str">
        <f t="shared" si="10"/>
        <v/>
      </c>
      <c r="K216" s="16" t="str">
        <f t="shared" si="11"/>
        <v/>
      </c>
    </row>
    <row r="217" spans="1:11" x14ac:dyDescent="0.35">
      <c r="A217" s="8" t="str">
        <f>Clean_Data!A217</f>
        <v/>
      </c>
      <c r="B217" s="16" t="str">
        <f>IF(A217="","",IF(Clean_Data!C217="","FAIL","PASS"))</f>
        <v/>
      </c>
      <c r="C217" s="16" t="str">
        <f>IF(A217="","",IF(AND(Clean_Data!C217&lt;&gt;"",Clean_Data!J217="NO"),"FAIL","PASS"))</f>
        <v/>
      </c>
      <c r="D217" s="16" t="str">
        <f>IF(A217="","",IF(Clean_Data!E217="","FAIL","PASS"))</f>
        <v/>
      </c>
      <c r="E217" s="16" t="str">
        <f>IF(A217="","",IF(Clean_Data!G217="","FAIL","PASS"))</f>
        <v/>
      </c>
      <c r="F217" s="16" t="str">
        <f>IF(A217="","",IF(Clean_Data!G217="","OK",IF(Clean_Data!G217&gt;16,"FLAG","OK")))</f>
        <v/>
      </c>
      <c r="G217" s="16" t="str">
        <f>IF(A217="","",IF(Clean_Data!H217="","FAIL","PASS"))</f>
        <v/>
      </c>
      <c r="H217" s="16" t="str">
        <f>IF(A217="","",IF(OR(Clean_Data!D217="",Clean_Data!K217="NO"),"FAIL","PASS"))</f>
        <v/>
      </c>
      <c r="I217" s="16" t="str">
        <f t="shared" si="9"/>
        <v/>
      </c>
      <c r="J217" s="17" t="str">
        <f t="shared" si="10"/>
        <v/>
      </c>
      <c r="K217" s="16" t="str">
        <f t="shared" si="11"/>
        <v/>
      </c>
    </row>
    <row r="218" spans="1:11" x14ac:dyDescent="0.35">
      <c r="A218" s="8" t="str">
        <f>Clean_Data!A218</f>
        <v/>
      </c>
      <c r="B218" s="16" t="str">
        <f>IF(A218="","",IF(Clean_Data!C218="","FAIL","PASS"))</f>
        <v/>
      </c>
      <c r="C218" s="16" t="str">
        <f>IF(A218="","",IF(AND(Clean_Data!C218&lt;&gt;"",Clean_Data!J218="NO"),"FAIL","PASS"))</f>
        <v/>
      </c>
      <c r="D218" s="16" t="str">
        <f>IF(A218="","",IF(Clean_Data!E218="","FAIL","PASS"))</f>
        <v/>
      </c>
      <c r="E218" s="16" t="str">
        <f>IF(A218="","",IF(Clean_Data!G218="","FAIL","PASS"))</f>
        <v/>
      </c>
      <c r="F218" s="16" t="str">
        <f>IF(A218="","",IF(Clean_Data!G218="","OK",IF(Clean_Data!G218&gt;16,"FLAG","OK")))</f>
        <v/>
      </c>
      <c r="G218" s="16" t="str">
        <f>IF(A218="","",IF(Clean_Data!H218="","FAIL","PASS"))</f>
        <v/>
      </c>
      <c r="H218" s="16" t="str">
        <f>IF(A218="","",IF(OR(Clean_Data!D218="",Clean_Data!K218="NO"),"FAIL","PASS"))</f>
        <v/>
      </c>
      <c r="I218" s="16" t="str">
        <f t="shared" si="9"/>
        <v/>
      </c>
      <c r="J218" s="17" t="str">
        <f t="shared" si="10"/>
        <v/>
      </c>
      <c r="K218" s="16" t="str">
        <f t="shared" si="11"/>
        <v/>
      </c>
    </row>
    <row r="219" spans="1:11" x14ac:dyDescent="0.35">
      <c r="A219" s="8" t="str">
        <f>Clean_Data!A219</f>
        <v/>
      </c>
      <c r="B219" s="16" t="str">
        <f>IF(A219="","",IF(Clean_Data!C219="","FAIL","PASS"))</f>
        <v/>
      </c>
      <c r="C219" s="16" t="str">
        <f>IF(A219="","",IF(AND(Clean_Data!C219&lt;&gt;"",Clean_Data!J219="NO"),"FAIL","PASS"))</f>
        <v/>
      </c>
      <c r="D219" s="16" t="str">
        <f>IF(A219="","",IF(Clean_Data!E219="","FAIL","PASS"))</f>
        <v/>
      </c>
      <c r="E219" s="16" t="str">
        <f>IF(A219="","",IF(Clean_Data!G219="","FAIL","PASS"))</f>
        <v/>
      </c>
      <c r="F219" s="16" t="str">
        <f>IF(A219="","",IF(Clean_Data!G219="","OK",IF(Clean_Data!G219&gt;16,"FLAG","OK")))</f>
        <v/>
      </c>
      <c r="G219" s="16" t="str">
        <f>IF(A219="","",IF(Clean_Data!H219="","FAIL","PASS"))</f>
        <v/>
      </c>
      <c r="H219" s="16" t="str">
        <f>IF(A219="","",IF(OR(Clean_Data!D219="",Clean_Data!K219="NO"),"FAIL","PASS"))</f>
        <v/>
      </c>
      <c r="I219" s="16" t="str">
        <f t="shared" si="9"/>
        <v/>
      </c>
      <c r="J219" s="17" t="str">
        <f t="shared" si="10"/>
        <v/>
      </c>
      <c r="K219" s="16" t="str">
        <f t="shared" si="11"/>
        <v/>
      </c>
    </row>
    <row r="220" spans="1:11" x14ac:dyDescent="0.35">
      <c r="A220" s="8" t="str">
        <f>Clean_Data!A220</f>
        <v/>
      </c>
      <c r="B220" s="16" t="str">
        <f>IF(A220="","",IF(Clean_Data!C220="","FAIL","PASS"))</f>
        <v/>
      </c>
      <c r="C220" s="16" t="str">
        <f>IF(A220="","",IF(AND(Clean_Data!C220&lt;&gt;"",Clean_Data!J220="NO"),"FAIL","PASS"))</f>
        <v/>
      </c>
      <c r="D220" s="16" t="str">
        <f>IF(A220="","",IF(Clean_Data!E220="","FAIL","PASS"))</f>
        <v/>
      </c>
      <c r="E220" s="16" t="str">
        <f>IF(A220="","",IF(Clean_Data!G220="","FAIL","PASS"))</f>
        <v/>
      </c>
      <c r="F220" s="16" t="str">
        <f>IF(A220="","",IF(Clean_Data!G220="","OK",IF(Clean_Data!G220&gt;16,"FLAG","OK")))</f>
        <v/>
      </c>
      <c r="G220" s="16" t="str">
        <f>IF(A220="","",IF(Clean_Data!H220="","FAIL","PASS"))</f>
        <v/>
      </c>
      <c r="H220" s="16" t="str">
        <f>IF(A220="","",IF(OR(Clean_Data!D220="",Clean_Data!K220="NO"),"FAIL","PASS"))</f>
        <v/>
      </c>
      <c r="I220" s="16" t="str">
        <f t="shared" si="9"/>
        <v/>
      </c>
      <c r="J220" s="17" t="str">
        <f t="shared" si="10"/>
        <v/>
      </c>
      <c r="K220" s="16" t="str">
        <f t="shared" si="11"/>
        <v/>
      </c>
    </row>
    <row r="221" spans="1:11" x14ac:dyDescent="0.35">
      <c r="A221" s="8" t="str">
        <f>Clean_Data!A221</f>
        <v/>
      </c>
      <c r="B221" s="16" t="str">
        <f>IF(A221="","",IF(Clean_Data!C221="","FAIL","PASS"))</f>
        <v/>
      </c>
      <c r="C221" s="16" t="str">
        <f>IF(A221="","",IF(AND(Clean_Data!C221&lt;&gt;"",Clean_Data!J221="NO"),"FAIL","PASS"))</f>
        <v/>
      </c>
      <c r="D221" s="16" t="str">
        <f>IF(A221="","",IF(Clean_Data!E221="","FAIL","PASS"))</f>
        <v/>
      </c>
      <c r="E221" s="16" t="str">
        <f>IF(A221="","",IF(Clean_Data!G221="","FAIL","PASS"))</f>
        <v/>
      </c>
      <c r="F221" s="16" t="str">
        <f>IF(A221="","",IF(Clean_Data!G221="","OK",IF(Clean_Data!G221&gt;16,"FLAG","OK")))</f>
        <v/>
      </c>
      <c r="G221" s="16" t="str">
        <f>IF(A221="","",IF(Clean_Data!H221="","FAIL","PASS"))</f>
        <v/>
      </c>
      <c r="H221" s="16" t="str">
        <f>IF(A221="","",IF(OR(Clean_Data!D221="",Clean_Data!K221="NO"),"FAIL","PASS"))</f>
        <v/>
      </c>
      <c r="I221" s="16" t="str">
        <f t="shared" si="9"/>
        <v/>
      </c>
      <c r="J221" s="17" t="str">
        <f t="shared" si="10"/>
        <v/>
      </c>
      <c r="K221" s="16" t="str">
        <f t="shared" si="11"/>
        <v/>
      </c>
    </row>
    <row r="222" spans="1:11" x14ac:dyDescent="0.35">
      <c r="A222" s="8" t="str">
        <f>Clean_Data!A222</f>
        <v/>
      </c>
      <c r="B222" s="16" t="str">
        <f>IF(A222="","",IF(Clean_Data!C222="","FAIL","PASS"))</f>
        <v/>
      </c>
      <c r="C222" s="16" t="str">
        <f>IF(A222="","",IF(AND(Clean_Data!C222&lt;&gt;"",Clean_Data!J222="NO"),"FAIL","PASS"))</f>
        <v/>
      </c>
      <c r="D222" s="16" t="str">
        <f>IF(A222="","",IF(Clean_Data!E222="","FAIL","PASS"))</f>
        <v/>
      </c>
      <c r="E222" s="16" t="str">
        <f>IF(A222="","",IF(Clean_Data!G222="","FAIL","PASS"))</f>
        <v/>
      </c>
      <c r="F222" s="16" t="str">
        <f>IF(A222="","",IF(Clean_Data!G222="","OK",IF(Clean_Data!G222&gt;16,"FLAG","OK")))</f>
        <v/>
      </c>
      <c r="G222" s="16" t="str">
        <f>IF(A222="","",IF(Clean_Data!H222="","FAIL","PASS"))</f>
        <v/>
      </c>
      <c r="H222" s="16" t="str">
        <f>IF(A222="","",IF(OR(Clean_Data!D222="",Clean_Data!K222="NO"),"FAIL","PASS"))</f>
        <v/>
      </c>
      <c r="I222" s="16" t="str">
        <f t="shared" si="9"/>
        <v/>
      </c>
      <c r="J222" s="17" t="str">
        <f t="shared" si="10"/>
        <v/>
      </c>
      <c r="K222" s="16" t="str">
        <f t="shared" si="11"/>
        <v/>
      </c>
    </row>
    <row r="223" spans="1:11" x14ac:dyDescent="0.35">
      <c r="A223" s="8" t="str">
        <f>Clean_Data!A223</f>
        <v/>
      </c>
      <c r="B223" s="16" t="str">
        <f>IF(A223="","",IF(Clean_Data!C223="","FAIL","PASS"))</f>
        <v/>
      </c>
      <c r="C223" s="16" t="str">
        <f>IF(A223="","",IF(AND(Clean_Data!C223&lt;&gt;"",Clean_Data!J223="NO"),"FAIL","PASS"))</f>
        <v/>
      </c>
      <c r="D223" s="16" t="str">
        <f>IF(A223="","",IF(Clean_Data!E223="","FAIL","PASS"))</f>
        <v/>
      </c>
      <c r="E223" s="16" t="str">
        <f>IF(A223="","",IF(Clean_Data!G223="","FAIL","PASS"))</f>
        <v/>
      </c>
      <c r="F223" s="16" t="str">
        <f>IF(A223="","",IF(Clean_Data!G223="","OK",IF(Clean_Data!G223&gt;16,"FLAG","OK")))</f>
        <v/>
      </c>
      <c r="G223" s="16" t="str">
        <f>IF(A223="","",IF(Clean_Data!H223="","FAIL","PASS"))</f>
        <v/>
      </c>
      <c r="H223" s="16" t="str">
        <f>IF(A223="","",IF(OR(Clean_Data!D223="",Clean_Data!K223="NO"),"FAIL","PASS"))</f>
        <v/>
      </c>
      <c r="I223" s="16" t="str">
        <f t="shared" si="9"/>
        <v/>
      </c>
      <c r="J223" s="17" t="str">
        <f t="shared" si="10"/>
        <v/>
      </c>
      <c r="K223" s="16" t="str">
        <f t="shared" si="11"/>
        <v/>
      </c>
    </row>
    <row r="224" spans="1:11" x14ac:dyDescent="0.35">
      <c r="A224" s="8" t="str">
        <f>Clean_Data!A224</f>
        <v/>
      </c>
      <c r="B224" s="16" t="str">
        <f>IF(A224="","",IF(Clean_Data!C224="","FAIL","PASS"))</f>
        <v/>
      </c>
      <c r="C224" s="16" t="str">
        <f>IF(A224="","",IF(AND(Clean_Data!C224&lt;&gt;"",Clean_Data!J224="NO"),"FAIL","PASS"))</f>
        <v/>
      </c>
      <c r="D224" s="16" t="str">
        <f>IF(A224="","",IF(Clean_Data!E224="","FAIL","PASS"))</f>
        <v/>
      </c>
      <c r="E224" s="16" t="str">
        <f>IF(A224="","",IF(Clean_Data!G224="","FAIL","PASS"))</f>
        <v/>
      </c>
      <c r="F224" s="16" t="str">
        <f>IF(A224="","",IF(Clean_Data!G224="","OK",IF(Clean_Data!G224&gt;16,"FLAG","OK")))</f>
        <v/>
      </c>
      <c r="G224" s="16" t="str">
        <f>IF(A224="","",IF(Clean_Data!H224="","FAIL","PASS"))</f>
        <v/>
      </c>
      <c r="H224" s="16" t="str">
        <f>IF(A224="","",IF(OR(Clean_Data!D224="",Clean_Data!K224="NO"),"FAIL","PASS"))</f>
        <v/>
      </c>
      <c r="I224" s="16" t="str">
        <f t="shared" si="9"/>
        <v/>
      </c>
      <c r="J224" s="17" t="str">
        <f t="shared" si="10"/>
        <v/>
      </c>
      <c r="K224" s="16" t="str">
        <f t="shared" si="11"/>
        <v/>
      </c>
    </row>
    <row r="225" spans="1:11" x14ac:dyDescent="0.35">
      <c r="A225" s="8" t="str">
        <f>Clean_Data!A225</f>
        <v/>
      </c>
      <c r="B225" s="16" t="str">
        <f>IF(A225="","",IF(Clean_Data!C225="","FAIL","PASS"))</f>
        <v/>
      </c>
      <c r="C225" s="16" t="str">
        <f>IF(A225="","",IF(AND(Clean_Data!C225&lt;&gt;"",Clean_Data!J225="NO"),"FAIL","PASS"))</f>
        <v/>
      </c>
      <c r="D225" s="16" t="str">
        <f>IF(A225="","",IF(Clean_Data!E225="","FAIL","PASS"))</f>
        <v/>
      </c>
      <c r="E225" s="16" t="str">
        <f>IF(A225="","",IF(Clean_Data!G225="","FAIL","PASS"))</f>
        <v/>
      </c>
      <c r="F225" s="16" t="str">
        <f>IF(A225="","",IF(Clean_Data!G225="","OK",IF(Clean_Data!G225&gt;16,"FLAG","OK")))</f>
        <v/>
      </c>
      <c r="G225" s="16" t="str">
        <f>IF(A225="","",IF(Clean_Data!H225="","FAIL","PASS"))</f>
        <v/>
      </c>
      <c r="H225" s="16" t="str">
        <f>IF(A225="","",IF(OR(Clean_Data!D225="",Clean_Data!K225="NO"),"FAIL","PASS"))</f>
        <v/>
      </c>
      <c r="I225" s="16" t="str">
        <f t="shared" si="9"/>
        <v/>
      </c>
      <c r="J225" s="17" t="str">
        <f t="shared" si="10"/>
        <v/>
      </c>
      <c r="K225" s="16" t="str">
        <f t="shared" si="11"/>
        <v/>
      </c>
    </row>
    <row r="226" spans="1:11" x14ac:dyDescent="0.35">
      <c r="A226" s="8" t="str">
        <f>Clean_Data!A226</f>
        <v/>
      </c>
      <c r="B226" s="16" t="str">
        <f>IF(A226="","",IF(Clean_Data!C226="","FAIL","PASS"))</f>
        <v/>
      </c>
      <c r="C226" s="16" t="str">
        <f>IF(A226="","",IF(AND(Clean_Data!C226&lt;&gt;"",Clean_Data!J226="NO"),"FAIL","PASS"))</f>
        <v/>
      </c>
      <c r="D226" s="16" t="str">
        <f>IF(A226="","",IF(Clean_Data!E226="","FAIL","PASS"))</f>
        <v/>
      </c>
      <c r="E226" s="16" t="str">
        <f>IF(A226="","",IF(Clean_Data!G226="","FAIL","PASS"))</f>
        <v/>
      </c>
      <c r="F226" s="16" t="str">
        <f>IF(A226="","",IF(Clean_Data!G226="","OK",IF(Clean_Data!G226&gt;16,"FLAG","OK")))</f>
        <v/>
      </c>
      <c r="G226" s="16" t="str">
        <f>IF(A226="","",IF(Clean_Data!H226="","FAIL","PASS"))</f>
        <v/>
      </c>
      <c r="H226" s="16" t="str">
        <f>IF(A226="","",IF(OR(Clean_Data!D226="",Clean_Data!K226="NO"),"FAIL","PASS"))</f>
        <v/>
      </c>
      <c r="I226" s="16" t="str">
        <f t="shared" si="9"/>
        <v/>
      </c>
      <c r="J226" s="17" t="str">
        <f t="shared" si="10"/>
        <v/>
      </c>
      <c r="K226" s="16" t="str">
        <f t="shared" si="11"/>
        <v/>
      </c>
    </row>
    <row r="227" spans="1:11" x14ac:dyDescent="0.35">
      <c r="A227" s="8" t="str">
        <f>Clean_Data!A227</f>
        <v/>
      </c>
      <c r="B227" s="16" t="str">
        <f>IF(A227="","",IF(Clean_Data!C227="","FAIL","PASS"))</f>
        <v/>
      </c>
      <c r="C227" s="16" t="str">
        <f>IF(A227="","",IF(AND(Clean_Data!C227&lt;&gt;"",Clean_Data!J227="NO"),"FAIL","PASS"))</f>
        <v/>
      </c>
      <c r="D227" s="16" t="str">
        <f>IF(A227="","",IF(Clean_Data!E227="","FAIL","PASS"))</f>
        <v/>
      </c>
      <c r="E227" s="16" t="str">
        <f>IF(A227="","",IF(Clean_Data!G227="","FAIL","PASS"))</f>
        <v/>
      </c>
      <c r="F227" s="16" t="str">
        <f>IF(A227="","",IF(Clean_Data!G227="","OK",IF(Clean_Data!G227&gt;16,"FLAG","OK")))</f>
        <v/>
      </c>
      <c r="G227" s="16" t="str">
        <f>IF(A227="","",IF(Clean_Data!H227="","FAIL","PASS"))</f>
        <v/>
      </c>
      <c r="H227" s="16" t="str">
        <f>IF(A227="","",IF(OR(Clean_Data!D227="",Clean_Data!K227="NO"),"FAIL","PASS"))</f>
        <v/>
      </c>
      <c r="I227" s="16" t="str">
        <f t="shared" si="9"/>
        <v/>
      </c>
      <c r="J227" s="17" t="str">
        <f t="shared" si="10"/>
        <v/>
      </c>
      <c r="K227" s="16" t="str">
        <f t="shared" si="11"/>
        <v/>
      </c>
    </row>
    <row r="228" spans="1:11" x14ac:dyDescent="0.35">
      <c r="A228" s="8" t="str">
        <f>Clean_Data!A228</f>
        <v/>
      </c>
      <c r="B228" s="16" t="str">
        <f>IF(A228="","",IF(Clean_Data!C228="","FAIL","PASS"))</f>
        <v/>
      </c>
      <c r="C228" s="16" t="str">
        <f>IF(A228="","",IF(AND(Clean_Data!C228&lt;&gt;"",Clean_Data!J228="NO"),"FAIL","PASS"))</f>
        <v/>
      </c>
      <c r="D228" s="16" t="str">
        <f>IF(A228="","",IF(Clean_Data!E228="","FAIL","PASS"))</f>
        <v/>
      </c>
      <c r="E228" s="16" t="str">
        <f>IF(A228="","",IF(Clean_Data!G228="","FAIL","PASS"))</f>
        <v/>
      </c>
      <c r="F228" s="16" t="str">
        <f>IF(A228="","",IF(Clean_Data!G228="","OK",IF(Clean_Data!G228&gt;16,"FLAG","OK")))</f>
        <v/>
      </c>
      <c r="G228" s="16" t="str">
        <f>IF(A228="","",IF(Clean_Data!H228="","FAIL","PASS"))</f>
        <v/>
      </c>
      <c r="H228" s="16" t="str">
        <f>IF(A228="","",IF(OR(Clean_Data!D228="",Clean_Data!K228="NO"),"FAIL","PASS"))</f>
        <v/>
      </c>
      <c r="I228" s="16" t="str">
        <f t="shared" si="9"/>
        <v/>
      </c>
      <c r="J228" s="17" t="str">
        <f t="shared" si="10"/>
        <v/>
      </c>
      <c r="K228" s="16" t="str">
        <f t="shared" si="11"/>
        <v/>
      </c>
    </row>
    <row r="229" spans="1:11" x14ac:dyDescent="0.35">
      <c r="A229" s="8" t="str">
        <f>Clean_Data!A229</f>
        <v/>
      </c>
      <c r="B229" s="16" t="str">
        <f>IF(A229="","",IF(Clean_Data!C229="","FAIL","PASS"))</f>
        <v/>
      </c>
      <c r="C229" s="16" t="str">
        <f>IF(A229="","",IF(AND(Clean_Data!C229&lt;&gt;"",Clean_Data!J229="NO"),"FAIL","PASS"))</f>
        <v/>
      </c>
      <c r="D229" s="16" t="str">
        <f>IF(A229="","",IF(Clean_Data!E229="","FAIL","PASS"))</f>
        <v/>
      </c>
      <c r="E229" s="16" t="str">
        <f>IF(A229="","",IF(Clean_Data!G229="","FAIL","PASS"))</f>
        <v/>
      </c>
      <c r="F229" s="16" t="str">
        <f>IF(A229="","",IF(Clean_Data!G229="","OK",IF(Clean_Data!G229&gt;16,"FLAG","OK")))</f>
        <v/>
      </c>
      <c r="G229" s="16" t="str">
        <f>IF(A229="","",IF(Clean_Data!H229="","FAIL","PASS"))</f>
        <v/>
      </c>
      <c r="H229" s="16" t="str">
        <f>IF(A229="","",IF(OR(Clean_Data!D229="",Clean_Data!K229="NO"),"FAIL","PASS"))</f>
        <v/>
      </c>
      <c r="I229" s="16" t="str">
        <f t="shared" si="9"/>
        <v/>
      </c>
      <c r="J229" s="17" t="str">
        <f t="shared" si="10"/>
        <v/>
      </c>
      <c r="K229" s="16" t="str">
        <f t="shared" si="11"/>
        <v/>
      </c>
    </row>
    <row r="230" spans="1:11" x14ac:dyDescent="0.35">
      <c r="A230" s="8" t="str">
        <f>Clean_Data!A230</f>
        <v/>
      </c>
      <c r="B230" s="16" t="str">
        <f>IF(A230="","",IF(Clean_Data!C230="","FAIL","PASS"))</f>
        <v/>
      </c>
      <c r="C230" s="16" t="str">
        <f>IF(A230="","",IF(AND(Clean_Data!C230&lt;&gt;"",Clean_Data!J230="NO"),"FAIL","PASS"))</f>
        <v/>
      </c>
      <c r="D230" s="16" t="str">
        <f>IF(A230="","",IF(Clean_Data!E230="","FAIL","PASS"))</f>
        <v/>
      </c>
      <c r="E230" s="16" t="str">
        <f>IF(A230="","",IF(Clean_Data!G230="","FAIL","PASS"))</f>
        <v/>
      </c>
      <c r="F230" s="16" t="str">
        <f>IF(A230="","",IF(Clean_Data!G230="","OK",IF(Clean_Data!G230&gt;16,"FLAG","OK")))</f>
        <v/>
      </c>
      <c r="G230" s="16" t="str">
        <f>IF(A230="","",IF(Clean_Data!H230="","FAIL","PASS"))</f>
        <v/>
      </c>
      <c r="H230" s="16" t="str">
        <f>IF(A230="","",IF(OR(Clean_Data!D230="",Clean_Data!K230="NO"),"FAIL","PASS"))</f>
        <v/>
      </c>
      <c r="I230" s="16" t="str">
        <f t="shared" si="9"/>
        <v/>
      </c>
      <c r="J230" s="17" t="str">
        <f t="shared" si="10"/>
        <v/>
      </c>
      <c r="K230" s="16" t="str">
        <f t="shared" si="11"/>
        <v/>
      </c>
    </row>
    <row r="231" spans="1:11" x14ac:dyDescent="0.35">
      <c r="A231" s="8" t="str">
        <f>Clean_Data!A231</f>
        <v/>
      </c>
      <c r="B231" s="16" t="str">
        <f>IF(A231="","",IF(Clean_Data!C231="","FAIL","PASS"))</f>
        <v/>
      </c>
      <c r="C231" s="16" t="str">
        <f>IF(A231="","",IF(AND(Clean_Data!C231&lt;&gt;"",Clean_Data!J231="NO"),"FAIL","PASS"))</f>
        <v/>
      </c>
      <c r="D231" s="16" t="str">
        <f>IF(A231="","",IF(Clean_Data!E231="","FAIL","PASS"))</f>
        <v/>
      </c>
      <c r="E231" s="16" t="str">
        <f>IF(A231="","",IF(Clean_Data!G231="","FAIL","PASS"))</f>
        <v/>
      </c>
      <c r="F231" s="16" t="str">
        <f>IF(A231="","",IF(Clean_Data!G231="","OK",IF(Clean_Data!G231&gt;16,"FLAG","OK")))</f>
        <v/>
      </c>
      <c r="G231" s="16" t="str">
        <f>IF(A231="","",IF(Clean_Data!H231="","FAIL","PASS"))</f>
        <v/>
      </c>
      <c r="H231" s="16" t="str">
        <f>IF(A231="","",IF(OR(Clean_Data!D231="",Clean_Data!K231="NO"),"FAIL","PASS"))</f>
        <v/>
      </c>
      <c r="I231" s="16" t="str">
        <f t="shared" si="9"/>
        <v/>
      </c>
      <c r="J231" s="17" t="str">
        <f t="shared" si="10"/>
        <v/>
      </c>
      <c r="K231" s="16" t="str">
        <f t="shared" si="11"/>
        <v/>
      </c>
    </row>
    <row r="232" spans="1:11" x14ac:dyDescent="0.35">
      <c r="A232" s="8" t="str">
        <f>Clean_Data!A232</f>
        <v/>
      </c>
      <c r="B232" s="16" t="str">
        <f>IF(A232="","",IF(Clean_Data!C232="","FAIL","PASS"))</f>
        <v/>
      </c>
      <c r="C232" s="16" t="str">
        <f>IF(A232="","",IF(AND(Clean_Data!C232&lt;&gt;"",Clean_Data!J232="NO"),"FAIL","PASS"))</f>
        <v/>
      </c>
      <c r="D232" s="16" t="str">
        <f>IF(A232="","",IF(Clean_Data!E232="","FAIL","PASS"))</f>
        <v/>
      </c>
      <c r="E232" s="16" t="str">
        <f>IF(A232="","",IF(Clean_Data!G232="","FAIL","PASS"))</f>
        <v/>
      </c>
      <c r="F232" s="16" t="str">
        <f>IF(A232="","",IF(Clean_Data!G232="","OK",IF(Clean_Data!G232&gt;16,"FLAG","OK")))</f>
        <v/>
      </c>
      <c r="G232" s="16" t="str">
        <f>IF(A232="","",IF(Clean_Data!H232="","FAIL","PASS"))</f>
        <v/>
      </c>
      <c r="H232" s="16" t="str">
        <f>IF(A232="","",IF(OR(Clean_Data!D232="",Clean_Data!K232="NO"),"FAIL","PASS"))</f>
        <v/>
      </c>
      <c r="I232" s="16" t="str">
        <f t="shared" si="9"/>
        <v/>
      </c>
      <c r="J232" s="17" t="str">
        <f t="shared" si="10"/>
        <v/>
      </c>
      <c r="K232" s="16" t="str">
        <f t="shared" si="11"/>
        <v/>
      </c>
    </row>
    <row r="233" spans="1:11" x14ac:dyDescent="0.35">
      <c r="A233" s="8" t="str">
        <f>Clean_Data!A233</f>
        <v/>
      </c>
      <c r="B233" s="16" t="str">
        <f>IF(A233="","",IF(Clean_Data!C233="","FAIL","PASS"))</f>
        <v/>
      </c>
      <c r="C233" s="16" t="str">
        <f>IF(A233="","",IF(AND(Clean_Data!C233&lt;&gt;"",Clean_Data!J233="NO"),"FAIL","PASS"))</f>
        <v/>
      </c>
      <c r="D233" s="16" t="str">
        <f>IF(A233="","",IF(Clean_Data!E233="","FAIL","PASS"))</f>
        <v/>
      </c>
      <c r="E233" s="16" t="str">
        <f>IF(A233="","",IF(Clean_Data!G233="","FAIL","PASS"))</f>
        <v/>
      </c>
      <c r="F233" s="16" t="str">
        <f>IF(A233="","",IF(Clean_Data!G233="","OK",IF(Clean_Data!G233&gt;16,"FLAG","OK")))</f>
        <v/>
      </c>
      <c r="G233" s="16" t="str">
        <f>IF(A233="","",IF(Clean_Data!H233="","FAIL","PASS"))</f>
        <v/>
      </c>
      <c r="H233" s="16" t="str">
        <f>IF(A233="","",IF(OR(Clean_Data!D233="",Clean_Data!K233="NO"),"FAIL","PASS"))</f>
        <v/>
      </c>
      <c r="I233" s="16" t="str">
        <f t="shared" si="9"/>
        <v/>
      </c>
      <c r="J233" s="17" t="str">
        <f t="shared" si="10"/>
        <v/>
      </c>
      <c r="K233" s="16" t="str">
        <f t="shared" si="11"/>
        <v/>
      </c>
    </row>
    <row r="234" spans="1:11" x14ac:dyDescent="0.35">
      <c r="A234" s="8" t="str">
        <f>Clean_Data!A234</f>
        <v/>
      </c>
      <c r="B234" s="16" t="str">
        <f>IF(A234="","",IF(Clean_Data!C234="","FAIL","PASS"))</f>
        <v/>
      </c>
      <c r="C234" s="16" t="str">
        <f>IF(A234="","",IF(AND(Clean_Data!C234&lt;&gt;"",Clean_Data!J234="NO"),"FAIL","PASS"))</f>
        <v/>
      </c>
      <c r="D234" s="16" t="str">
        <f>IF(A234="","",IF(Clean_Data!E234="","FAIL","PASS"))</f>
        <v/>
      </c>
      <c r="E234" s="16" t="str">
        <f>IF(A234="","",IF(Clean_Data!G234="","FAIL","PASS"))</f>
        <v/>
      </c>
      <c r="F234" s="16" t="str">
        <f>IF(A234="","",IF(Clean_Data!G234="","OK",IF(Clean_Data!G234&gt;16,"FLAG","OK")))</f>
        <v/>
      </c>
      <c r="G234" s="16" t="str">
        <f>IF(A234="","",IF(Clean_Data!H234="","FAIL","PASS"))</f>
        <v/>
      </c>
      <c r="H234" s="16" t="str">
        <f>IF(A234="","",IF(OR(Clean_Data!D234="",Clean_Data!K234="NO"),"FAIL","PASS"))</f>
        <v/>
      </c>
      <c r="I234" s="16" t="str">
        <f t="shared" si="9"/>
        <v/>
      </c>
      <c r="J234" s="17" t="str">
        <f t="shared" si="10"/>
        <v/>
      </c>
      <c r="K234" s="16" t="str">
        <f t="shared" si="11"/>
        <v/>
      </c>
    </row>
    <row r="235" spans="1:11" x14ac:dyDescent="0.35">
      <c r="A235" s="8" t="str">
        <f>Clean_Data!A235</f>
        <v/>
      </c>
      <c r="B235" s="16" t="str">
        <f>IF(A235="","",IF(Clean_Data!C235="","FAIL","PASS"))</f>
        <v/>
      </c>
      <c r="C235" s="16" t="str">
        <f>IF(A235="","",IF(AND(Clean_Data!C235&lt;&gt;"",Clean_Data!J235="NO"),"FAIL","PASS"))</f>
        <v/>
      </c>
      <c r="D235" s="16" t="str">
        <f>IF(A235="","",IF(Clean_Data!E235="","FAIL","PASS"))</f>
        <v/>
      </c>
      <c r="E235" s="16" t="str">
        <f>IF(A235="","",IF(Clean_Data!G235="","FAIL","PASS"))</f>
        <v/>
      </c>
      <c r="F235" s="16" t="str">
        <f>IF(A235="","",IF(Clean_Data!G235="","OK",IF(Clean_Data!G235&gt;16,"FLAG","OK")))</f>
        <v/>
      </c>
      <c r="G235" s="16" t="str">
        <f>IF(A235="","",IF(Clean_Data!H235="","FAIL","PASS"))</f>
        <v/>
      </c>
      <c r="H235" s="16" t="str">
        <f>IF(A235="","",IF(OR(Clean_Data!D235="",Clean_Data!K235="NO"),"FAIL","PASS"))</f>
        <v/>
      </c>
      <c r="I235" s="16" t="str">
        <f t="shared" si="9"/>
        <v/>
      </c>
      <c r="J235" s="17" t="str">
        <f t="shared" si="10"/>
        <v/>
      </c>
      <c r="K235" s="16" t="str">
        <f t="shared" si="11"/>
        <v/>
      </c>
    </row>
    <row r="236" spans="1:11" x14ac:dyDescent="0.35">
      <c r="A236" s="8" t="str">
        <f>Clean_Data!A236</f>
        <v/>
      </c>
      <c r="B236" s="16" t="str">
        <f>IF(A236="","",IF(Clean_Data!C236="","FAIL","PASS"))</f>
        <v/>
      </c>
      <c r="C236" s="16" t="str">
        <f>IF(A236="","",IF(AND(Clean_Data!C236&lt;&gt;"",Clean_Data!J236="NO"),"FAIL","PASS"))</f>
        <v/>
      </c>
      <c r="D236" s="16" t="str">
        <f>IF(A236="","",IF(Clean_Data!E236="","FAIL","PASS"))</f>
        <v/>
      </c>
      <c r="E236" s="16" t="str">
        <f>IF(A236="","",IF(Clean_Data!G236="","FAIL","PASS"))</f>
        <v/>
      </c>
      <c r="F236" s="16" t="str">
        <f>IF(A236="","",IF(Clean_Data!G236="","OK",IF(Clean_Data!G236&gt;16,"FLAG","OK")))</f>
        <v/>
      </c>
      <c r="G236" s="16" t="str">
        <f>IF(A236="","",IF(Clean_Data!H236="","FAIL","PASS"))</f>
        <v/>
      </c>
      <c r="H236" s="16" t="str">
        <f>IF(A236="","",IF(OR(Clean_Data!D236="",Clean_Data!K236="NO"),"FAIL","PASS"))</f>
        <v/>
      </c>
      <c r="I236" s="16" t="str">
        <f t="shared" si="9"/>
        <v/>
      </c>
      <c r="J236" s="17" t="str">
        <f t="shared" si="10"/>
        <v/>
      </c>
      <c r="K236" s="16" t="str">
        <f t="shared" si="11"/>
        <v/>
      </c>
    </row>
    <row r="237" spans="1:11" x14ac:dyDescent="0.35">
      <c r="A237" s="8" t="str">
        <f>Clean_Data!A237</f>
        <v/>
      </c>
      <c r="B237" s="16" t="str">
        <f>IF(A237="","",IF(Clean_Data!C237="","FAIL","PASS"))</f>
        <v/>
      </c>
      <c r="C237" s="16" t="str">
        <f>IF(A237="","",IF(AND(Clean_Data!C237&lt;&gt;"",Clean_Data!J237="NO"),"FAIL","PASS"))</f>
        <v/>
      </c>
      <c r="D237" s="16" t="str">
        <f>IF(A237="","",IF(Clean_Data!E237="","FAIL","PASS"))</f>
        <v/>
      </c>
      <c r="E237" s="16" t="str">
        <f>IF(A237="","",IF(Clean_Data!G237="","FAIL","PASS"))</f>
        <v/>
      </c>
      <c r="F237" s="16" t="str">
        <f>IF(A237="","",IF(Clean_Data!G237="","OK",IF(Clean_Data!G237&gt;16,"FLAG","OK")))</f>
        <v/>
      </c>
      <c r="G237" s="16" t="str">
        <f>IF(A237="","",IF(Clean_Data!H237="","FAIL","PASS"))</f>
        <v/>
      </c>
      <c r="H237" s="16" t="str">
        <f>IF(A237="","",IF(OR(Clean_Data!D237="",Clean_Data!K237="NO"),"FAIL","PASS"))</f>
        <v/>
      </c>
      <c r="I237" s="16" t="str">
        <f t="shared" si="9"/>
        <v/>
      </c>
      <c r="J237" s="17" t="str">
        <f t="shared" si="10"/>
        <v/>
      </c>
      <c r="K237" s="16" t="str">
        <f t="shared" si="11"/>
        <v/>
      </c>
    </row>
    <row r="238" spans="1:11" x14ac:dyDescent="0.35">
      <c r="A238" s="8" t="str">
        <f>Clean_Data!A238</f>
        <v/>
      </c>
      <c r="B238" s="16" t="str">
        <f>IF(A238="","",IF(Clean_Data!C238="","FAIL","PASS"))</f>
        <v/>
      </c>
      <c r="C238" s="16" t="str">
        <f>IF(A238="","",IF(AND(Clean_Data!C238&lt;&gt;"",Clean_Data!J238="NO"),"FAIL","PASS"))</f>
        <v/>
      </c>
      <c r="D238" s="16" t="str">
        <f>IF(A238="","",IF(Clean_Data!E238="","FAIL","PASS"))</f>
        <v/>
      </c>
      <c r="E238" s="16" t="str">
        <f>IF(A238="","",IF(Clean_Data!G238="","FAIL","PASS"))</f>
        <v/>
      </c>
      <c r="F238" s="16" t="str">
        <f>IF(A238="","",IF(Clean_Data!G238="","OK",IF(Clean_Data!G238&gt;16,"FLAG","OK")))</f>
        <v/>
      </c>
      <c r="G238" s="16" t="str">
        <f>IF(A238="","",IF(Clean_Data!H238="","FAIL","PASS"))</f>
        <v/>
      </c>
      <c r="H238" s="16" t="str">
        <f>IF(A238="","",IF(OR(Clean_Data!D238="",Clean_Data!K238="NO"),"FAIL","PASS"))</f>
        <v/>
      </c>
      <c r="I238" s="16" t="str">
        <f t="shared" si="9"/>
        <v/>
      </c>
      <c r="J238" s="17" t="str">
        <f t="shared" si="10"/>
        <v/>
      </c>
      <c r="K238" s="16" t="str">
        <f t="shared" si="11"/>
        <v/>
      </c>
    </row>
    <row r="239" spans="1:11" x14ac:dyDescent="0.35">
      <c r="A239" s="8" t="str">
        <f>Clean_Data!A239</f>
        <v/>
      </c>
      <c r="B239" s="16" t="str">
        <f>IF(A239="","",IF(Clean_Data!C239="","FAIL","PASS"))</f>
        <v/>
      </c>
      <c r="C239" s="16" t="str">
        <f>IF(A239="","",IF(AND(Clean_Data!C239&lt;&gt;"",Clean_Data!J239="NO"),"FAIL","PASS"))</f>
        <v/>
      </c>
      <c r="D239" s="16" t="str">
        <f>IF(A239="","",IF(Clean_Data!E239="","FAIL","PASS"))</f>
        <v/>
      </c>
      <c r="E239" s="16" t="str">
        <f>IF(A239="","",IF(Clean_Data!G239="","FAIL","PASS"))</f>
        <v/>
      </c>
      <c r="F239" s="16" t="str">
        <f>IF(A239="","",IF(Clean_Data!G239="","OK",IF(Clean_Data!G239&gt;16,"FLAG","OK")))</f>
        <v/>
      </c>
      <c r="G239" s="16" t="str">
        <f>IF(A239="","",IF(Clean_Data!H239="","FAIL","PASS"))</f>
        <v/>
      </c>
      <c r="H239" s="16" t="str">
        <f>IF(A239="","",IF(OR(Clean_Data!D239="",Clean_Data!K239="NO"),"FAIL","PASS"))</f>
        <v/>
      </c>
      <c r="I239" s="16" t="str">
        <f t="shared" si="9"/>
        <v/>
      </c>
      <c r="J239" s="17" t="str">
        <f t="shared" si="10"/>
        <v/>
      </c>
      <c r="K239" s="16" t="str">
        <f t="shared" si="11"/>
        <v/>
      </c>
    </row>
    <row r="240" spans="1:11" x14ac:dyDescent="0.35">
      <c r="A240" s="8" t="str">
        <f>Clean_Data!A240</f>
        <v/>
      </c>
      <c r="B240" s="16" t="str">
        <f>IF(A240="","",IF(Clean_Data!C240="","FAIL","PASS"))</f>
        <v/>
      </c>
      <c r="C240" s="16" t="str">
        <f>IF(A240="","",IF(AND(Clean_Data!C240&lt;&gt;"",Clean_Data!J240="NO"),"FAIL","PASS"))</f>
        <v/>
      </c>
      <c r="D240" s="16" t="str">
        <f>IF(A240="","",IF(Clean_Data!E240="","FAIL","PASS"))</f>
        <v/>
      </c>
      <c r="E240" s="16" t="str">
        <f>IF(A240="","",IF(Clean_Data!G240="","FAIL","PASS"))</f>
        <v/>
      </c>
      <c r="F240" s="16" t="str">
        <f>IF(A240="","",IF(Clean_Data!G240="","OK",IF(Clean_Data!G240&gt;16,"FLAG","OK")))</f>
        <v/>
      </c>
      <c r="G240" s="16" t="str">
        <f>IF(A240="","",IF(Clean_Data!H240="","FAIL","PASS"))</f>
        <v/>
      </c>
      <c r="H240" s="16" t="str">
        <f>IF(A240="","",IF(OR(Clean_Data!D240="",Clean_Data!K240="NO"),"FAIL","PASS"))</f>
        <v/>
      </c>
      <c r="I240" s="16" t="str">
        <f t="shared" si="9"/>
        <v/>
      </c>
      <c r="J240" s="17" t="str">
        <f t="shared" si="10"/>
        <v/>
      </c>
      <c r="K240" s="16" t="str">
        <f t="shared" si="11"/>
        <v/>
      </c>
    </row>
    <row r="241" spans="1:11" x14ac:dyDescent="0.35">
      <c r="A241" s="8" t="str">
        <f>Clean_Data!A241</f>
        <v/>
      </c>
      <c r="B241" s="16" t="str">
        <f>IF(A241="","",IF(Clean_Data!C241="","FAIL","PASS"))</f>
        <v/>
      </c>
      <c r="C241" s="16" t="str">
        <f>IF(A241="","",IF(AND(Clean_Data!C241&lt;&gt;"",Clean_Data!J241="NO"),"FAIL","PASS"))</f>
        <v/>
      </c>
      <c r="D241" s="16" t="str">
        <f>IF(A241="","",IF(Clean_Data!E241="","FAIL","PASS"))</f>
        <v/>
      </c>
      <c r="E241" s="16" t="str">
        <f>IF(A241="","",IF(Clean_Data!G241="","FAIL","PASS"))</f>
        <v/>
      </c>
      <c r="F241" s="16" t="str">
        <f>IF(A241="","",IF(Clean_Data!G241="","OK",IF(Clean_Data!G241&gt;16,"FLAG","OK")))</f>
        <v/>
      </c>
      <c r="G241" s="16" t="str">
        <f>IF(A241="","",IF(Clean_Data!H241="","FAIL","PASS"))</f>
        <v/>
      </c>
      <c r="H241" s="16" t="str">
        <f>IF(A241="","",IF(OR(Clean_Data!D241="",Clean_Data!K241="NO"),"FAIL","PASS"))</f>
        <v/>
      </c>
      <c r="I241" s="16" t="str">
        <f t="shared" si="9"/>
        <v/>
      </c>
      <c r="J241" s="17" t="str">
        <f t="shared" si="10"/>
        <v/>
      </c>
      <c r="K241" s="16" t="str">
        <f t="shared" si="11"/>
        <v/>
      </c>
    </row>
    <row r="242" spans="1:11" x14ac:dyDescent="0.35">
      <c r="A242" s="8" t="str">
        <f>Clean_Data!A242</f>
        <v/>
      </c>
      <c r="B242" s="16" t="str">
        <f>IF(A242="","",IF(Clean_Data!C242="","FAIL","PASS"))</f>
        <v/>
      </c>
      <c r="C242" s="16" t="str">
        <f>IF(A242="","",IF(AND(Clean_Data!C242&lt;&gt;"",Clean_Data!J242="NO"),"FAIL","PASS"))</f>
        <v/>
      </c>
      <c r="D242" s="16" t="str">
        <f>IF(A242="","",IF(Clean_Data!E242="","FAIL","PASS"))</f>
        <v/>
      </c>
      <c r="E242" s="16" t="str">
        <f>IF(A242="","",IF(Clean_Data!G242="","FAIL","PASS"))</f>
        <v/>
      </c>
      <c r="F242" s="16" t="str">
        <f>IF(A242="","",IF(Clean_Data!G242="","OK",IF(Clean_Data!G242&gt;16,"FLAG","OK")))</f>
        <v/>
      </c>
      <c r="G242" s="16" t="str">
        <f>IF(A242="","",IF(Clean_Data!H242="","FAIL","PASS"))</f>
        <v/>
      </c>
      <c r="H242" s="16" t="str">
        <f>IF(A242="","",IF(OR(Clean_Data!D242="",Clean_Data!K242="NO"),"FAIL","PASS"))</f>
        <v/>
      </c>
      <c r="I242" s="16" t="str">
        <f t="shared" si="9"/>
        <v/>
      </c>
      <c r="J242" s="17" t="str">
        <f t="shared" si="10"/>
        <v/>
      </c>
      <c r="K242" s="16" t="str">
        <f t="shared" si="11"/>
        <v/>
      </c>
    </row>
    <row r="243" spans="1:11" x14ac:dyDescent="0.35">
      <c r="A243" s="8" t="str">
        <f>Clean_Data!A243</f>
        <v/>
      </c>
      <c r="B243" s="16" t="str">
        <f>IF(A243="","",IF(Clean_Data!C243="","FAIL","PASS"))</f>
        <v/>
      </c>
      <c r="C243" s="16" t="str">
        <f>IF(A243="","",IF(AND(Clean_Data!C243&lt;&gt;"",Clean_Data!J243="NO"),"FAIL","PASS"))</f>
        <v/>
      </c>
      <c r="D243" s="16" t="str">
        <f>IF(A243="","",IF(Clean_Data!E243="","FAIL","PASS"))</f>
        <v/>
      </c>
      <c r="E243" s="16" t="str">
        <f>IF(A243="","",IF(Clean_Data!G243="","FAIL","PASS"))</f>
        <v/>
      </c>
      <c r="F243" s="16" t="str">
        <f>IF(A243="","",IF(Clean_Data!G243="","OK",IF(Clean_Data!G243&gt;16,"FLAG","OK")))</f>
        <v/>
      </c>
      <c r="G243" s="16" t="str">
        <f>IF(A243="","",IF(Clean_Data!H243="","FAIL","PASS"))</f>
        <v/>
      </c>
      <c r="H243" s="16" t="str">
        <f>IF(A243="","",IF(OR(Clean_Data!D243="",Clean_Data!K243="NO"),"FAIL","PASS"))</f>
        <v/>
      </c>
      <c r="I243" s="16" t="str">
        <f t="shared" si="9"/>
        <v/>
      </c>
      <c r="J243" s="17" t="str">
        <f t="shared" si="10"/>
        <v/>
      </c>
      <c r="K243" s="16" t="str">
        <f t="shared" si="11"/>
        <v/>
      </c>
    </row>
    <row r="244" spans="1:11" x14ac:dyDescent="0.35">
      <c r="A244" s="8" t="str">
        <f>Clean_Data!A244</f>
        <v/>
      </c>
      <c r="B244" s="16" t="str">
        <f>IF(A244="","",IF(Clean_Data!C244="","FAIL","PASS"))</f>
        <v/>
      </c>
      <c r="C244" s="16" t="str">
        <f>IF(A244="","",IF(AND(Clean_Data!C244&lt;&gt;"",Clean_Data!J244="NO"),"FAIL","PASS"))</f>
        <v/>
      </c>
      <c r="D244" s="16" t="str">
        <f>IF(A244="","",IF(Clean_Data!E244="","FAIL","PASS"))</f>
        <v/>
      </c>
      <c r="E244" s="16" t="str">
        <f>IF(A244="","",IF(Clean_Data!G244="","FAIL","PASS"))</f>
        <v/>
      </c>
      <c r="F244" s="16" t="str">
        <f>IF(A244="","",IF(Clean_Data!G244="","OK",IF(Clean_Data!G244&gt;16,"FLAG","OK")))</f>
        <v/>
      </c>
      <c r="G244" s="16" t="str">
        <f>IF(A244="","",IF(Clean_Data!H244="","FAIL","PASS"))</f>
        <v/>
      </c>
      <c r="H244" s="16" t="str">
        <f>IF(A244="","",IF(OR(Clean_Data!D244="",Clean_Data!K244="NO"),"FAIL","PASS"))</f>
        <v/>
      </c>
      <c r="I244" s="16" t="str">
        <f t="shared" si="9"/>
        <v/>
      </c>
      <c r="J244" s="17" t="str">
        <f t="shared" si="10"/>
        <v/>
      </c>
      <c r="K244" s="16" t="str">
        <f t="shared" si="11"/>
        <v/>
      </c>
    </row>
    <row r="245" spans="1:11" x14ac:dyDescent="0.35">
      <c r="A245" s="8" t="str">
        <f>Clean_Data!A245</f>
        <v/>
      </c>
      <c r="B245" s="16" t="str">
        <f>IF(A245="","",IF(Clean_Data!C245="","FAIL","PASS"))</f>
        <v/>
      </c>
      <c r="C245" s="16" t="str">
        <f>IF(A245="","",IF(AND(Clean_Data!C245&lt;&gt;"",Clean_Data!J245="NO"),"FAIL","PASS"))</f>
        <v/>
      </c>
      <c r="D245" s="16" t="str">
        <f>IF(A245="","",IF(Clean_Data!E245="","FAIL","PASS"))</f>
        <v/>
      </c>
      <c r="E245" s="16" t="str">
        <f>IF(A245="","",IF(Clean_Data!G245="","FAIL","PASS"))</f>
        <v/>
      </c>
      <c r="F245" s="16" t="str">
        <f>IF(A245="","",IF(Clean_Data!G245="","OK",IF(Clean_Data!G245&gt;16,"FLAG","OK")))</f>
        <v/>
      </c>
      <c r="G245" s="16" t="str">
        <f>IF(A245="","",IF(Clean_Data!H245="","FAIL","PASS"))</f>
        <v/>
      </c>
      <c r="H245" s="16" t="str">
        <f>IF(A245="","",IF(OR(Clean_Data!D245="",Clean_Data!K245="NO"),"FAIL","PASS"))</f>
        <v/>
      </c>
      <c r="I245" s="16" t="str">
        <f t="shared" si="9"/>
        <v/>
      </c>
      <c r="J245" s="17" t="str">
        <f t="shared" si="10"/>
        <v/>
      </c>
      <c r="K245" s="16" t="str">
        <f t="shared" si="11"/>
        <v/>
      </c>
    </row>
    <row r="246" spans="1:11" x14ac:dyDescent="0.35">
      <c r="A246" s="8" t="str">
        <f>Clean_Data!A246</f>
        <v/>
      </c>
      <c r="B246" s="16" t="str">
        <f>IF(A246="","",IF(Clean_Data!C246="","FAIL","PASS"))</f>
        <v/>
      </c>
      <c r="C246" s="16" t="str">
        <f>IF(A246="","",IF(AND(Clean_Data!C246&lt;&gt;"",Clean_Data!J246="NO"),"FAIL","PASS"))</f>
        <v/>
      </c>
      <c r="D246" s="16" t="str">
        <f>IF(A246="","",IF(Clean_Data!E246="","FAIL","PASS"))</f>
        <v/>
      </c>
      <c r="E246" s="16" t="str">
        <f>IF(A246="","",IF(Clean_Data!G246="","FAIL","PASS"))</f>
        <v/>
      </c>
      <c r="F246" s="16" t="str">
        <f>IF(A246="","",IF(Clean_Data!G246="","OK",IF(Clean_Data!G246&gt;16,"FLAG","OK")))</f>
        <v/>
      </c>
      <c r="G246" s="16" t="str">
        <f>IF(A246="","",IF(Clean_Data!H246="","FAIL","PASS"))</f>
        <v/>
      </c>
      <c r="H246" s="16" t="str">
        <f>IF(A246="","",IF(OR(Clean_Data!D246="",Clean_Data!K246="NO"),"FAIL","PASS"))</f>
        <v/>
      </c>
      <c r="I246" s="16" t="str">
        <f t="shared" si="9"/>
        <v/>
      </c>
      <c r="J246" s="17" t="str">
        <f t="shared" si="10"/>
        <v/>
      </c>
      <c r="K246" s="16" t="str">
        <f t="shared" si="11"/>
        <v/>
      </c>
    </row>
    <row r="247" spans="1:11" x14ac:dyDescent="0.35">
      <c r="A247" s="8" t="str">
        <f>Clean_Data!A247</f>
        <v/>
      </c>
      <c r="B247" s="16" t="str">
        <f>IF(A247="","",IF(Clean_Data!C247="","FAIL","PASS"))</f>
        <v/>
      </c>
      <c r="C247" s="16" t="str">
        <f>IF(A247="","",IF(AND(Clean_Data!C247&lt;&gt;"",Clean_Data!J247="NO"),"FAIL","PASS"))</f>
        <v/>
      </c>
      <c r="D247" s="16" t="str">
        <f>IF(A247="","",IF(Clean_Data!E247="","FAIL","PASS"))</f>
        <v/>
      </c>
      <c r="E247" s="16" t="str">
        <f>IF(A247="","",IF(Clean_Data!G247="","FAIL","PASS"))</f>
        <v/>
      </c>
      <c r="F247" s="16" t="str">
        <f>IF(A247="","",IF(Clean_Data!G247="","OK",IF(Clean_Data!G247&gt;16,"FLAG","OK")))</f>
        <v/>
      </c>
      <c r="G247" s="16" t="str">
        <f>IF(A247="","",IF(Clean_Data!H247="","FAIL","PASS"))</f>
        <v/>
      </c>
      <c r="H247" s="16" t="str">
        <f>IF(A247="","",IF(OR(Clean_Data!D247="",Clean_Data!K247="NO"),"FAIL","PASS"))</f>
        <v/>
      </c>
      <c r="I247" s="16" t="str">
        <f t="shared" si="9"/>
        <v/>
      </c>
      <c r="J247" s="17" t="str">
        <f t="shared" si="10"/>
        <v/>
      </c>
      <c r="K247" s="16" t="str">
        <f t="shared" si="11"/>
        <v/>
      </c>
    </row>
    <row r="248" spans="1:11" x14ac:dyDescent="0.35">
      <c r="A248" s="8" t="str">
        <f>Clean_Data!A248</f>
        <v/>
      </c>
      <c r="B248" s="16" t="str">
        <f>IF(A248="","",IF(Clean_Data!C248="","FAIL","PASS"))</f>
        <v/>
      </c>
      <c r="C248" s="16" t="str">
        <f>IF(A248="","",IF(AND(Clean_Data!C248&lt;&gt;"",Clean_Data!J248="NO"),"FAIL","PASS"))</f>
        <v/>
      </c>
      <c r="D248" s="16" t="str">
        <f>IF(A248="","",IF(Clean_Data!E248="","FAIL","PASS"))</f>
        <v/>
      </c>
      <c r="E248" s="16" t="str">
        <f>IF(A248="","",IF(Clean_Data!G248="","FAIL","PASS"))</f>
        <v/>
      </c>
      <c r="F248" s="16" t="str">
        <f>IF(A248="","",IF(Clean_Data!G248="","OK",IF(Clean_Data!G248&gt;16,"FLAG","OK")))</f>
        <v/>
      </c>
      <c r="G248" s="16" t="str">
        <f>IF(A248="","",IF(Clean_Data!H248="","FAIL","PASS"))</f>
        <v/>
      </c>
      <c r="H248" s="16" t="str">
        <f>IF(A248="","",IF(OR(Clean_Data!D248="",Clean_Data!K248="NO"),"FAIL","PASS"))</f>
        <v/>
      </c>
      <c r="I248" s="16" t="str">
        <f t="shared" si="9"/>
        <v/>
      </c>
      <c r="J248" s="17" t="str">
        <f t="shared" si="10"/>
        <v/>
      </c>
      <c r="K248" s="16" t="str">
        <f t="shared" si="11"/>
        <v/>
      </c>
    </row>
    <row r="249" spans="1:11" x14ac:dyDescent="0.35">
      <c r="A249" s="8" t="str">
        <f>Clean_Data!A249</f>
        <v/>
      </c>
      <c r="B249" s="16" t="str">
        <f>IF(A249="","",IF(Clean_Data!C249="","FAIL","PASS"))</f>
        <v/>
      </c>
      <c r="C249" s="16" t="str">
        <f>IF(A249="","",IF(AND(Clean_Data!C249&lt;&gt;"",Clean_Data!J249="NO"),"FAIL","PASS"))</f>
        <v/>
      </c>
      <c r="D249" s="16" t="str">
        <f>IF(A249="","",IF(Clean_Data!E249="","FAIL","PASS"))</f>
        <v/>
      </c>
      <c r="E249" s="16" t="str">
        <f>IF(A249="","",IF(Clean_Data!G249="","FAIL","PASS"))</f>
        <v/>
      </c>
      <c r="F249" s="16" t="str">
        <f>IF(A249="","",IF(Clean_Data!G249="","OK",IF(Clean_Data!G249&gt;16,"FLAG","OK")))</f>
        <v/>
      </c>
      <c r="G249" s="16" t="str">
        <f>IF(A249="","",IF(Clean_Data!H249="","FAIL","PASS"))</f>
        <v/>
      </c>
      <c r="H249" s="16" t="str">
        <f>IF(A249="","",IF(OR(Clean_Data!D249="",Clean_Data!K249="NO"),"FAIL","PASS"))</f>
        <v/>
      </c>
      <c r="I249" s="16" t="str">
        <f t="shared" si="9"/>
        <v/>
      </c>
      <c r="J249" s="17" t="str">
        <f t="shared" si="10"/>
        <v/>
      </c>
      <c r="K249" s="16" t="str">
        <f t="shared" si="11"/>
        <v/>
      </c>
    </row>
    <row r="250" spans="1:11" x14ac:dyDescent="0.35">
      <c r="A250" s="8" t="str">
        <f>Clean_Data!A250</f>
        <v/>
      </c>
      <c r="B250" s="16" t="str">
        <f>IF(A250="","",IF(Clean_Data!C250="","FAIL","PASS"))</f>
        <v/>
      </c>
      <c r="C250" s="16" t="str">
        <f>IF(A250="","",IF(AND(Clean_Data!C250&lt;&gt;"",Clean_Data!J250="NO"),"FAIL","PASS"))</f>
        <v/>
      </c>
      <c r="D250" s="16" t="str">
        <f>IF(A250="","",IF(Clean_Data!E250="","FAIL","PASS"))</f>
        <v/>
      </c>
      <c r="E250" s="16" t="str">
        <f>IF(A250="","",IF(Clean_Data!G250="","FAIL","PASS"))</f>
        <v/>
      </c>
      <c r="F250" s="16" t="str">
        <f>IF(A250="","",IF(Clean_Data!G250="","OK",IF(Clean_Data!G250&gt;16,"FLAG","OK")))</f>
        <v/>
      </c>
      <c r="G250" s="16" t="str">
        <f>IF(A250="","",IF(Clean_Data!H250="","FAIL","PASS"))</f>
        <v/>
      </c>
      <c r="H250" s="16" t="str">
        <f>IF(A250="","",IF(OR(Clean_Data!D250="",Clean_Data!K250="NO"),"FAIL","PASS"))</f>
        <v/>
      </c>
      <c r="I250" s="16" t="str">
        <f t="shared" si="9"/>
        <v/>
      </c>
      <c r="J250" s="17" t="str">
        <f t="shared" si="10"/>
        <v/>
      </c>
      <c r="K250" s="16" t="str">
        <f t="shared" si="11"/>
        <v/>
      </c>
    </row>
    <row r="251" spans="1:11" x14ac:dyDescent="0.35">
      <c r="A251" s="8" t="str">
        <f>Clean_Data!A251</f>
        <v/>
      </c>
      <c r="B251" s="16" t="str">
        <f>IF(A251="","",IF(Clean_Data!C251="","FAIL","PASS"))</f>
        <v/>
      </c>
      <c r="C251" s="16" t="str">
        <f>IF(A251="","",IF(AND(Clean_Data!C251&lt;&gt;"",Clean_Data!J251="NO"),"FAIL","PASS"))</f>
        <v/>
      </c>
      <c r="D251" s="16" t="str">
        <f>IF(A251="","",IF(Clean_Data!E251="","FAIL","PASS"))</f>
        <v/>
      </c>
      <c r="E251" s="16" t="str">
        <f>IF(A251="","",IF(Clean_Data!G251="","FAIL","PASS"))</f>
        <v/>
      </c>
      <c r="F251" s="16" t="str">
        <f>IF(A251="","",IF(Clean_Data!G251="","OK",IF(Clean_Data!G251&gt;16,"FLAG","OK")))</f>
        <v/>
      </c>
      <c r="G251" s="16" t="str">
        <f>IF(A251="","",IF(Clean_Data!H251="","FAIL","PASS"))</f>
        <v/>
      </c>
      <c r="H251" s="16" t="str">
        <f>IF(A251="","",IF(OR(Clean_Data!D251="",Clean_Data!K251="NO"),"FAIL","PASS"))</f>
        <v/>
      </c>
      <c r="I251" s="16" t="str">
        <f t="shared" si="9"/>
        <v/>
      </c>
      <c r="J251" s="17" t="str">
        <f t="shared" si="10"/>
        <v/>
      </c>
      <c r="K251" s="16" t="str">
        <f t="shared" si="11"/>
        <v/>
      </c>
    </row>
    <row r="252" spans="1:11" x14ac:dyDescent="0.35">
      <c r="A252" s="8" t="str">
        <f>Clean_Data!A252</f>
        <v/>
      </c>
      <c r="B252" s="16" t="str">
        <f>IF(A252="","",IF(Clean_Data!C252="","FAIL","PASS"))</f>
        <v/>
      </c>
      <c r="C252" s="16" t="str">
        <f>IF(A252="","",IF(AND(Clean_Data!C252&lt;&gt;"",Clean_Data!J252="NO"),"FAIL","PASS"))</f>
        <v/>
      </c>
      <c r="D252" s="16" t="str">
        <f>IF(A252="","",IF(Clean_Data!E252="","FAIL","PASS"))</f>
        <v/>
      </c>
      <c r="E252" s="16" t="str">
        <f>IF(A252="","",IF(Clean_Data!G252="","FAIL","PASS"))</f>
        <v/>
      </c>
      <c r="F252" s="16" t="str">
        <f>IF(A252="","",IF(Clean_Data!G252="","OK",IF(Clean_Data!G252&gt;16,"FLAG","OK")))</f>
        <v/>
      </c>
      <c r="G252" s="16" t="str">
        <f>IF(A252="","",IF(Clean_Data!H252="","FAIL","PASS"))</f>
        <v/>
      </c>
      <c r="H252" s="16" t="str">
        <f>IF(A252="","",IF(OR(Clean_Data!D252="",Clean_Data!K252="NO"),"FAIL","PASS"))</f>
        <v/>
      </c>
      <c r="I252" s="16" t="str">
        <f t="shared" si="9"/>
        <v/>
      </c>
      <c r="J252" s="17" t="str">
        <f t="shared" si="10"/>
        <v/>
      </c>
      <c r="K252" s="16" t="str">
        <f t="shared" si="11"/>
        <v/>
      </c>
    </row>
    <row r="253" spans="1:11" x14ac:dyDescent="0.35">
      <c r="A253" s="8" t="str">
        <f>Clean_Data!A253</f>
        <v/>
      </c>
      <c r="B253" s="16" t="str">
        <f>IF(A253="","",IF(Clean_Data!C253="","FAIL","PASS"))</f>
        <v/>
      </c>
      <c r="C253" s="16" t="str">
        <f>IF(A253="","",IF(AND(Clean_Data!C253&lt;&gt;"",Clean_Data!J253="NO"),"FAIL","PASS"))</f>
        <v/>
      </c>
      <c r="D253" s="16" t="str">
        <f>IF(A253="","",IF(Clean_Data!E253="","FAIL","PASS"))</f>
        <v/>
      </c>
      <c r="E253" s="16" t="str">
        <f>IF(A253="","",IF(Clean_Data!G253="","FAIL","PASS"))</f>
        <v/>
      </c>
      <c r="F253" s="16" t="str">
        <f>IF(A253="","",IF(Clean_Data!G253="","OK",IF(Clean_Data!G253&gt;16,"FLAG","OK")))</f>
        <v/>
      </c>
      <c r="G253" s="16" t="str">
        <f>IF(A253="","",IF(Clean_Data!H253="","FAIL","PASS"))</f>
        <v/>
      </c>
      <c r="H253" s="16" t="str">
        <f>IF(A253="","",IF(OR(Clean_Data!D253="",Clean_Data!K253="NO"),"FAIL","PASS"))</f>
        <v/>
      </c>
      <c r="I253" s="16" t="str">
        <f t="shared" si="9"/>
        <v/>
      </c>
      <c r="J253" s="17" t="str">
        <f t="shared" si="10"/>
        <v/>
      </c>
      <c r="K253" s="16" t="str">
        <f t="shared" si="11"/>
        <v/>
      </c>
    </row>
    <row r="254" spans="1:11" x14ac:dyDescent="0.35">
      <c r="A254" s="8" t="str">
        <f>Clean_Data!A254</f>
        <v/>
      </c>
      <c r="B254" s="16" t="str">
        <f>IF(A254="","",IF(Clean_Data!C254="","FAIL","PASS"))</f>
        <v/>
      </c>
      <c r="C254" s="16" t="str">
        <f>IF(A254="","",IF(AND(Clean_Data!C254&lt;&gt;"",Clean_Data!J254="NO"),"FAIL","PASS"))</f>
        <v/>
      </c>
      <c r="D254" s="16" t="str">
        <f>IF(A254="","",IF(Clean_Data!E254="","FAIL","PASS"))</f>
        <v/>
      </c>
      <c r="E254" s="16" t="str">
        <f>IF(A254="","",IF(Clean_Data!G254="","FAIL","PASS"))</f>
        <v/>
      </c>
      <c r="F254" s="16" t="str">
        <f>IF(A254="","",IF(Clean_Data!G254="","OK",IF(Clean_Data!G254&gt;16,"FLAG","OK")))</f>
        <v/>
      </c>
      <c r="G254" s="16" t="str">
        <f>IF(A254="","",IF(Clean_Data!H254="","FAIL","PASS"))</f>
        <v/>
      </c>
      <c r="H254" s="16" t="str">
        <f>IF(A254="","",IF(OR(Clean_Data!D254="",Clean_Data!K254="NO"),"FAIL","PASS"))</f>
        <v/>
      </c>
      <c r="I254" s="16" t="str">
        <f t="shared" si="9"/>
        <v/>
      </c>
      <c r="J254" s="17" t="str">
        <f t="shared" si="10"/>
        <v/>
      </c>
      <c r="K254" s="16" t="str">
        <f t="shared" si="11"/>
        <v/>
      </c>
    </row>
    <row r="255" spans="1:11" x14ac:dyDescent="0.35">
      <c r="A255" s="8" t="str">
        <f>Clean_Data!A255</f>
        <v/>
      </c>
      <c r="B255" s="16" t="str">
        <f>IF(A255="","",IF(Clean_Data!C255="","FAIL","PASS"))</f>
        <v/>
      </c>
      <c r="C255" s="16" t="str">
        <f>IF(A255="","",IF(AND(Clean_Data!C255&lt;&gt;"",Clean_Data!J255="NO"),"FAIL","PASS"))</f>
        <v/>
      </c>
      <c r="D255" s="16" t="str">
        <f>IF(A255="","",IF(Clean_Data!E255="","FAIL","PASS"))</f>
        <v/>
      </c>
      <c r="E255" s="16" t="str">
        <f>IF(A255="","",IF(Clean_Data!G255="","FAIL","PASS"))</f>
        <v/>
      </c>
      <c r="F255" s="16" t="str">
        <f>IF(A255="","",IF(Clean_Data!G255="","OK",IF(Clean_Data!G255&gt;16,"FLAG","OK")))</f>
        <v/>
      </c>
      <c r="G255" s="16" t="str">
        <f>IF(A255="","",IF(Clean_Data!H255="","FAIL","PASS"))</f>
        <v/>
      </c>
      <c r="H255" s="16" t="str">
        <f>IF(A255="","",IF(OR(Clean_Data!D255="",Clean_Data!K255="NO"),"FAIL","PASS"))</f>
        <v/>
      </c>
      <c r="I255" s="16" t="str">
        <f t="shared" si="9"/>
        <v/>
      </c>
      <c r="J255" s="17" t="str">
        <f t="shared" si="10"/>
        <v/>
      </c>
      <c r="K255" s="16" t="str">
        <f t="shared" si="11"/>
        <v/>
      </c>
    </row>
    <row r="256" spans="1:11" x14ac:dyDescent="0.35">
      <c r="A256" s="8" t="str">
        <f>Clean_Data!A256</f>
        <v/>
      </c>
      <c r="B256" s="16" t="str">
        <f>IF(A256="","",IF(Clean_Data!C256="","FAIL","PASS"))</f>
        <v/>
      </c>
      <c r="C256" s="16" t="str">
        <f>IF(A256="","",IF(AND(Clean_Data!C256&lt;&gt;"",Clean_Data!J256="NO"),"FAIL","PASS"))</f>
        <v/>
      </c>
      <c r="D256" s="16" t="str">
        <f>IF(A256="","",IF(Clean_Data!E256="","FAIL","PASS"))</f>
        <v/>
      </c>
      <c r="E256" s="16" t="str">
        <f>IF(A256="","",IF(Clean_Data!G256="","FAIL","PASS"))</f>
        <v/>
      </c>
      <c r="F256" s="16" t="str">
        <f>IF(A256="","",IF(Clean_Data!G256="","OK",IF(Clean_Data!G256&gt;16,"FLAG","OK")))</f>
        <v/>
      </c>
      <c r="G256" s="16" t="str">
        <f>IF(A256="","",IF(Clean_Data!H256="","FAIL","PASS"))</f>
        <v/>
      </c>
      <c r="H256" s="16" t="str">
        <f>IF(A256="","",IF(OR(Clean_Data!D256="",Clean_Data!K256="NO"),"FAIL","PASS"))</f>
        <v/>
      </c>
      <c r="I256" s="16" t="str">
        <f t="shared" si="9"/>
        <v/>
      </c>
      <c r="J256" s="17" t="str">
        <f t="shared" si="10"/>
        <v/>
      </c>
      <c r="K256" s="16" t="str">
        <f t="shared" si="11"/>
        <v/>
      </c>
    </row>
    <row r="257" spans="1:11" x14ac:dyDescent="0.35">
      <c r="A257" s="8" t="str">
        <f>Clean_Data!A257</f>
        <v/>
      </c>
      <c r="B257" s="16" t="str">
        <f>IF(A257="","",IF(Clean_Data!C257="","FAIL","PASS"))</f>
        <v/>
      </c>
      <c r="C257" s="16" t="str">
        <f>IF(A257="","",IF(AND(Clean_Data!C257&lt;&gt;"",Clean_Data!J257="NO"),"FAIL","PASS"))</f>
        <v/>
      </c>
      <c r="D257" s="16" t="str">
        <f>IF(A257="","",IF(Clean_Data!E257="","FAIL","PASS"))</f>
        <v/>
      </c>
      <c r="E257" s="16" t="str">
        <f>IF(A257="","",IF(Clean_Data!G257="","FAIL","PASS"))</f>
        <v/>
      </c>
      <c r="F257" s="16" t="str">
        <f>IF(A257="","",IF(Clean_Data!G257="","OK",IF(Clean_Data!G257&gt;16,"FLAG","OK")))</f>
        <v/>
      </c>
      <c r="G257" s="16" t="str">
        <f>IF(A257="","",IF(Clean_Data!H257="","FAIL","PASS"))</f>
        <v/>
      </c>
      <c r="H257" s="16" t="str">
        <f>IF(A257="","",IF(OR(Clean_Data!D257="",Clean_Data!K257="NO"),"FAIL","PASS"))</f>
        <v/>
      </c>
      <c r="I257" s="16" t="str">
        <f t="shared" si="9"/>
        <v/>
      </c>
      <c r="J257" s="17" t="str">
        <f t="shared" si="10"/>
        <v/>
      </c>
      <c r="K257" s="16" t="str">
        <f t="shared" si="11"/>
        <v/>
      </c>
    </row>
    <row r="258" spans="1:11" x14ac:dyDescent="0.35">
      <c r="A258" s="8" t="str">
        <f>Clean_Data!A258</f>
        <v/>
      </c>
      <c r="B258" s="16" t="str">
        <f>IF(A258="","",IF(Clean_Data!C258="","FAIL","PASS"))</f>
        <v/>
      </c>
      <c r="C258" s="16" t="str">
        <f>IF(A258="","",IF(AND(Clean_Data!C258&lt;&gt;"",Clean_Data!J258="NO"),"FAIL","PASS"))</f>
        <v/>
      </c>
      <c r="D258" s="16" t="str">
        <f>IF(A258="","",IF(Clean_Data!E258="","FAIL","PASS"))</f>
        <v/>
      </c>
      <c r="E258" s="16" t="str">
        <f>IF(A258="","",IF(Clean_Data!G258="","FAIL","PASS"))</f>
        <v/>
      </c>
      <c r="F258" s="16" t="str">
        <f>IF(A258="","",IF(Clean_Data!G258="","OK",IF(Clean_Data!G258&gt;16,"FLAG","OK")))</f>
        <v/>
      </c>
      <c r="G258" s="16" t="str">
        <f>IF(A258="","",IF(Clean_Data!H258="","FAIL","PASS"))</f>
        <v/>
      </c>
      <c r="H258" s="16" t="str">
        <f>IF(A258="","",IF(OR(Clean_Data!D258="",Clean_Data!K258="NO"),"FAIL","PASS"))</f>
        <v/>
      </c>
      <c r="I258" s="16" t="str">
        <f t="shared" si="9"/>
        <v/>
      </c>
      <c r="J258" s="17" t="str">
        <f t="shared" si="10"/>
        <v/>
      </c>
      <c r="K258" s="16" t="str">
        <f t="shared" si="11"/>
        <v/>
      </c>
    </row>
    <row r="259" spans="1:11" x14ac:dyDescent="0.35">
      <c r="A259" s="8" t="str">
        <f>Clean_Data!A259</f>
        <v/>
      </c>
      <c r="B259" s="16" t="str">
        <f>IF(A259="","",IF(Clean_Data!C259="","FAIL","PASS"))</f>
        <v/>
      </c>
      <c r="C259" s="16" t="str">
        <f>IF(A259="","",IF(AND(Clean_Data!C259&lt;&gt;"",Clean_Data!J259="NO"),"FAIL","PASS"))</f>
        <v/>
      </c>
      <c r="D259" s="16" t="str">
        <f>IF(A259="","",IF(Clean_Data!E259="","FAIL","PASS"))</f>
        <v/>
      </c>
      <c r="E259" s="16" t="str">
        <f>IF(A259="","",IF(Clean_Data!G259="","FAIL","PASS"))</f>
        <v/>
      </c>
      <c r="F259" s="16" t="str">
        <f>IF(A259="","",IF(Clean_Data!G259="","OK",IF(Clean_Data!G259&gt;16,"FLAG","OK")))</f>
        <v/>
      </c>
      <c r="G259" s="16" t="str">
        <f>IF(A259="","",IF(Clean_Data!H259="","FAIL","PASS"))</f>
        <v/>
      </c>
      <c r="H259" s="16" t="str">
        <f>IF(A259="","",IF(OR(Clean_Data!D259="",Clean_Data!K259="NO"),"FAIL","PASS"))</f>
        <v/>
      </c>
      <c r="I259" s="16" t="str">
        <f t="shared" si="9"/>
        <v/>
      </c>
      <c r="J259" s="17" t="str">
        <f t="shared" si="10"/>
        <v/>
      </c>
      <c r="K259" s="16" t="str">
        <f t="shared" si="11"/>
        <v/>
      </c>
    </row>
    <row r="260" spans="1:11" x14ac:dyDescent="0.35">
      <c r="A260" s="8" t="str">
        <f>Clean_Data!A260</f>
        <v/>
      </c>
      <c r="B260" s="16" t="str">
        <f>IF(A260="","",IF(Clean_Data!C260="","FAIL","PASS"))</f>
        <v/>
      </c>
      <c r="C260" s="16" t="str">
        <f>IF(A260="","",IF(AND(Clean_Data!C260&lt;&gt;"",Clean_Data!J260="NO"),"FAIL","PASS"))</f>
        <v/>
      </c>
      <c r="D260" s="16" t="str">
        <f>IF(A260="","",IF(Clean_Data!E260="","FAIL","PASS"))</f>
        <v/>
      </c>
      <c r="E260" s="16" t="str">
        <f>IF(A260="","",IF(Clean_Data!G260="","FAIL","PASS"))</f>
        <v/>
      </c>
      <c r="F260" s="16" t="str">
        <f>IF(A260="","",IF(Clean_Data!G260="","OK",IF(Clean_Data!G260&gt;16,"FLAG","OK")))</f>
        <v/>
      </c>
      <c r="G260" s="16" t="str">
        <f>IF(A260="","",IF(Clean_Data!H260="","FAIL","PASS"))</f>
        <v/>
      </c>
      <c r="H260" s="16" t="str">
        <f>IF(A260="","",IF(OR(Clean_Data!D260="",Clean_Data!K260="NO"),"FAIL","PASS"))</f>
        <v/>
      </c>
      <c r="I260" s="16" t="str">
        <f t="shared" ref="I260:I323" si="12">IF(A260="","",IF(COUNTIF(B260:H260,"FAIL")&gt;0,"ERROR",IF(COUNTIF(B260:H260,"FLAG")&gt;0,"REVIEW","OK")))</f>
        <v/>
      </c>
      <c r="J260" s="17" t="str">
        <f t="shared" ref="J260:J323" si="13">IF(A260="","",IF(B260="FAIL",300,0)+IF(C260="FAIL",350,0)+IF(D260="FAIL",250,0)+IF(E260="FAIL",400,0)+IF(F260="FLAG",150,0)+IF(G260="FAIL",200,0)+IF(H260="FAIL",200,0))</f>
        <v/>
      </c>
      <c r="K260" s="16" t="str">
        <f t="shared" ref="K260:K323" si="14">IF(A260="","",IF(B260="FAIL","Missing name",IF(C260="FAIL","Unknown lineman",IF(D260="FAIL","Missing job",IF(E260="FAIL","Invalid hours",IF(F260="FLAG","Hours outlier",IF(G260="FAIL","Missing area",IF(H260="FAIL","Missing foreman","OK"))))))))</f>
        <v/>
      </c>
    </row>
    <row r="261" spans="1:11" x14ac:dyDescent="0.35">
      <c r="A261" s="8" t="str">
        <f>Clean_Data!A261</f>
        <v/>
      </c>
      <c r="B261" s="16" t="str">
        <f>IF(A261="","",IF(Clean_Data!C261="","FAIL","PASS"))</f>
        <v/>
      </c>
      <c r="C261" s="16" t="str">
        <f>IF(A261="","",IF(AND(Clean_Data!C261&lt;&gt;"",Clean_Data!J261="NO"),"FAIL","PASS"))</f>
        <v/>
      </c>
      <c r="D261" s="16" t="str">
        <f>IF(A261="","",IF(Clean_Data!E261="","FAIL","PASS"))</f>
        <v/>
      </c>
      <c r="E261" s="16" t="str">
        <f>IF(A261="","",IF(Clean_Data!G261="","FAIL","PASS"))</f>
        <v/>
      </c>
      <c r="F261" s="16" t="str">
        <f>IF(A261="","",IF(Clean_Data!G261="","OK",IF(Clean_Data!G261&gt;16,"FLAG","OK")))</f>
        <v/>
      </c>
      <c r="G261" s="16" t="str">
        <f>IF(A261="","",IF(Clean_Data!H261="","FAIL","PASS"))</f>
        <v/>
      </c>
      <c r="H261" s="16" t="str">
        <f>IF(A261="","",IF(OR(Clean_Data!D261="",Clean_Data!K261="NO"),"FAIL","PASS"))</f>
        <v/>
      </c>
      <c r="I261" s="16" t="str">
        <f t="shared" si="12"/>
        <v/>
      </c>
      <c r="J261" s="17" t="str">
        <f t="shared" si="13"/>
        <v/>
      </c>
      <c r="K261" s="16" t="str">
        <f t="shared" si="14"/>
        <v/>
      </c>
    </row>
    <row r="262" spans="1:11" x14ac:dyDescent="0.35">
      <c r="A262" s="8" t="str">
        <f>Clean_Data!A262</f>
        <v/>
      </c>
      <c r="B262" s="16" t="str">
        <f>IF(A262="","",IF(Clean_Data!C262="","FAIL","PASS"))</f>
        <v/>
      </c>
      <c r="C262" s="16" t="str">
        <f>IF(A262="","",IF(AND(Clean_Data!C262&lt;&gt;"",Clean_Data!J262="NO"),"FAIL","PASS"))</f>
        <v/>
      </c>
      <c r="D262" s="16" t="str">
        <f>IF(A262="","",IF(Clean_Data!E262="","FAIL","PASS"))</f>
        <v/>
      </c>
      <c r="E262" s="16" t="str">
        <f>IF(A262="","",IF(Clean_Data!G262="","FAIL","PASS"))</f>
        <v/>
      </c>
      <c r="F262" s="16" t="str">
        <f>IF(A262="","",IF(Clean_Data!G262="","OK",IF(Clean_Data!G262&gt;16,"FLAG","OK")))</f>
        <v/>
      </c>
      <c r="G262" s="16" t="str">
        <f>IF(A262="","",IF(Clean_Data!H262="","FAIL","PASS"))</f>
        <v/>
      </c>
      <c r="H262" s="16" t="str">
        <f>IF(A262="","",IF(OR(Clean_Data!D262="",Clean_Data!K262="NO"),"FAIL","PASS"))</f>
        <v/>
      </c>
      <c r="I262" s="16" t="str">
        <f t="shared" si="12"/>
        <v/>
      </c>
      <c r="J262" s="17" t="str">
        <f t="shared" si="13"/>
        <v/>
      </c>
      <c r="K262" s="16" t="str">
        <f t="shared" si="14"/>
        <v/>
      </c>
    </row>
    <row r="263" spans="1:11" x14ac:dyDescent="0.35">
      <c r="A263" s="8" t="str">
        <f>Clean_Data!A263</f>
        <v/>
      </c>
      <c r="B263" s="16" t="str">
        <f>IF(A263="","",IF(Clean_Data!C263="","FAIL","PASS"))</f>
        <v/>
      </c>
      <c r="C263" s="16" t="str">
        <f>IF(A263="","",IF(AND(Clean_Data!C263&lt;&gt;"",Clean_Data!J263="NO"),"FAIL","PASS"))</f>
        <v/>
      </c>
      <c r="D263" s="16" t="str">
        <f>IF(A263="","",IF(Clean_Data!E263="","FAIL","PASS"))</f>
        <v/>
      </c>
      <c r="E263" s="16" t="str">
        <f>IF(A263="","",IF(Clean_Data!G263="","FAIL","PASS"))</f>
        <v/>
      </c>
      <c r="F263" s="16" t="str">
        <f>IF(A263="","",IF(Clean_Data!G263="","OK",IF(Clean_Data!G263&gt;16,"FLAG","OK")))</f>
        <v/>
      </c>
      <c r="G263" s="16" t="str">
        <f>IF(A263="","",IF(Clean_Data!H263="","FAIL","PASS"))</f>
        <v/>
      </c>
      <c r="H263" s="16" t="str">
        <f>IF(A263="","",IF(OR(Clean_Data!D263="",Clean_Data!K263="NO"),"FAIL","PASS"))</f>
        <v/>
      </c>
      <c r="I263" s="16" t="str">
        <f t="shared" si="12"/>
        <v/>
      </c>
      <c r="J263" s="17" t="str">
        <f t="shared" si="13"/>
        <v/>
      </c>
      <c r="K263" s="16" t="str">
        <f t="shared" si="14"/>
        <v/>
      </c>
    </row>
    <row r="264" spans="1:11" x14ac:dyDescent="0.35">
      <c r="A264" s="8" t="str">
        <f>Clean_Data!A264</f>
        <v/>
      </c>
      <c r="B264" s="16" t="str">
        <f>IF(A264="","",IF(Clean_Data!C264="","FAIL","PASS"))</f>
        <v/>
      </c>
      <c r="C264" s="16" t="str">
        <f>IF(A264="","",IF(AND(Clean_Data!C264&lt;&gt;"",Clean_Data!J264="NO"),"FAIL","PASS"))</f>
        <v/>
      </c>
      <c r="D264" s="16" t="str">
        <f>IF(A264="","",IF(Clean_Data!E264="","FAIL","PASS"))</f>
        <v/>
      </c>
      <c r="E264" s="16" t="str">
        <f>IF(A264="","",IF(Clean_Data!G264="","FAIL","PASS"))</f>
        <v/>
      </c>
      <c r="F264" s="16" t="str">
        <f>IF(A264="","",IF(Clean_Data!G264="","OK",IF(Clean_Data!G264&gt;16,"FLAG","OK")))</f>
        <v/>
      </c>
      <c r="G264" s="16" t="str">
        <f>IF(A264="","",IF(Clean_Data!H264="","FAIL","PASS"))</f>
        <v/>
      </c>
      <c r="H264" s="16" t="str">
        <f>IF(A264="","",IF(OR(Clean_Data!D264="",Clean_Data!K264="NO"),"FAIL","PASS"))</f>
        <v/>
      </c>
      <c r="I264" s="16" t="str">
        <f t="shared" si="12"/>
        <v/>
      </c>
      <c r="J264" s="17" t="str">
        <f t="shared" si="13"/>
        <v/>
      </c>
      <c r="K264" s="16" t="str">
        <f t="shared" si="14"/>
        <v/>
      </c>
    </row>
    <row r="265" spans="1:11" x14ac:dyDescent="0.35">
      <c r="A265" s="8" t="str">
        <f>Clean_Data!A265</f>
        <v/>
      </c>
      <c r="B265" s="16" t="str">
        <f>IF(A265="","",IF(Clean_Data!C265="","FAIL","PASS"))</f>
        <v/>
      </c>
      <c r="C265" s="16" t="str">
        <f>IF(A265="","",IF(AND(Clean_Data!C265&lt;&gt;"",Clean_Data!J265="NO"),"FAIL","PASS"))</f>
        <v/>
      </c>
      <c r="D265" s="16" t="str">
        <f>IF(A265="","",IF(Clean_Data!E265="","FAIL","PASS"))</f>
        <v/>
      </c>
      <c r="E265" s="16" t="str">
        <f>IF(A265="","",IF(Clean_Data!G265="","FAIL","PASS"))</f>
        <v/>
      </c>
      <c r="F265" s="16" t="str">
        <f>IF(A265="","",IF(Clean_Data!G265="","OK",IF(Clean_Data!G265&gt;16,"FLAG","OK")))</f>
        <v/>
      </c>
      <c r="G265" s="16" t="str">
        <f>IF(A265="","",IF(Clean_Data!H265="","FAIL","PASS"))</f>
        <v/>
      </c>
      <c r="H265" s="16" t="str">
        <f>IF(A265="","",IF(OR(Clean_Data!D265="",Clean_Data!K265="NO"),"FAIL","PASS"))</f>
        <v/>
      </c>
      <c r="I265" s="16" t="str">
        <f t="shared" si="12"/>
        <v/>
      </c>
      <c r="J265" s="17" t="str">
        <f t="shared" si="13"/>
        <v/>
      </c>
      <c r="K265" s="16" t="str">
        <f t="shared" si="14"/>
        <v/>
      </c>
    </row>
    <row r="266" spans="1:11" x14ac:dyDescent="0.35">
      <c r="A266" s="8" t="str">
        <f>Clean_Data!A266</f>
        <v/>
      </c>
      <c r="B266" s="16" t="str">
        <f>IF(A266="","",IF(Clean_Data!C266="","FAIL","PASS"))</f>
        <v/>
      </c>
      <c r="C266" s="16" t="str">
        <f>IF(A266="","",IF(AND(Clean_Data!C266&lt;&gt;"",Clean_Data!J266="NO"),"FAIL","PASS"))</f>
        <v/>
      </c>
      <c r="D266" s="16" t="str">
        <f>IF(A266="","",IF(Clean_Data!E266="","FAIL","PASS"))</f>
        <v/>
      </c>
      <c r="E266" s="16" t="str">
        <f>IF(A266="","",IF(Clean_Data!G266="","FAIL","PASS"))</f>
        <v/>
      </c>
      <c r="F266" s="16" t="str">
        <f>IF(A266="","",IF(Clean_Data!G266="","OK",IF(Clean_Data!G266&gt;16,"FLAG","OK")))</f>
        <v/>
      </c>
      <c r="G266" s="16" t="str">
        <f>IF(A266="","",IF(Clean_Data!H266="","FAIL","PASS"))</f>
        <v/>
      </c>
      <c r="H266" s="16" t="str">
        <f>IF(A266="","",IF(OR(Clean_Data!D266="",Clean_Data!K266="NO"),"FAIL","PASS"))</f>
        <v/>
      </c>
      <c r="I266" s="16" t="str">
        <f t="shared" si="12"/>
        <v/>
      </c>
      <c r="J266" s="17" t="str">
        <f t="shared" si="13"/>
        <v/>
      </c>
      <c r="K266" s="16" t="str">
        <f t="shared" si="14"/>
        <v/>
      </c>
    </row>
    <row r="267" spans="1:11" x14ac:dyDescent="0.35">
      <c r="A267" s="8" t="str">
        <f>Clean_Data!A267</f>
        <v/>
      </c>
      <c r="B267" s="16" t="str">
        <f>IF(A267="","",IF(Clean_Data!C267="","FAIL","PASS"))</f>
        <v/>
      </c>
      <c r="C267" s="16" t="str">
        <f>IF(A267="","",IF(AND(Clean_Data!C267&lt;&gt;"",Clean_Data!J267="NO"),"FAIL","PASS"))</f>
        <v/>
      </c>
      <c r="D267" s="16" t="str">
        <f>IF(A267="","",IF(Clean_Data!E267="","FAIL","PASS"))</f>
        <v/>
      </c>
      <c r="E267" s="16" t="str">
        <f>IF(A267="","",IF(Clean_Data!G267="","FAIL","PASS"))</f>
        <v/>
      </c>
      <c r="F267" s="16" t="str">
        <f>IF(A267="","",IF(Clean_Data!G267="","OK",IF(Clean_Data!G267&gt;16,"FLAG","OK")))</f>
        <v/>
      </c>
      <c r="G267" s="16" t="str">
        <f>IF(A267="","",IF(Clean_Data!H267="","FAIL","PASS"))</f>
        <v/>
      </c>
      <c r="H267" s="16" t="str">
        <f>IF(A267="","",IF(OR(Clean_Data!D267="",Clean_Data!K267="NO"),"FAIL","PASS"))</f>
        <v/>
      </c>
      <c r="I267" s="16" t="str">
        <f t="shared" si="12"/>
        <v/>
      </c>
      <c r="J267" s="17" t="str">
        <f t="shared" si="13"/>
        <v/>
      </c>
      <c r="K267" s="16" t="str">
        <f t="shared" si="14"/>
        <v/>
      </c>
    </row>
    <row r="268" spans="1:11" x14ac:dyDescent="0.35">
      <c r="A268" s="8" t="str">
        <f>Clean_Data!A268</f>
        <v/>
      </c>
      <c r="B268" s="16" t="str">
        <f>IF(A268="","",IF(Clean_Data!C268="","FAIL","PASS"))</f>
        <v/>
      </c>
      <c r="C268" s="16" t="str">
        <f>IF(A268="","",IF(AND(Clean_Data!C268&lt;&gt;"",Clean_Data!J268="NO"),"FAIL","PASS"))</f>
        <v/>
      </c>
      <c r="D268" s="16" t="str">
        <f>IF(A268="","",IF(Clean_Data!E268="","FAIL","PASS"))</f>
        <v/>
      </c>
      <c r="E268" s="16" t="str">
        <f>IF(A268="","",IF(Clean_Data!G268="","FAIL","PASS"))</f>
        <v/>
      </c>
      <c r="F268" s="16" t="str">
        <f>IF(A268="","",IF(Clean_Data!G268="","OK",IF(Clean_Data!G268&gt;16,"FLAG","OK")))</f>
        <v/>
      </c>
      <c r="G268" s="16" t="str">
        <f>IF(A268="","",IF(Clean_Data!H268="","FAIL","PASS"))</f>
        <v/>
      </c>
      <c r="H268" s="16" t="str">
        <f>IF(A268="","",IF(OR(Clean_Data!D268="",Clean_Data!K268="NO"),"FAIL","PASS"))</f>
        <v/>
      </c>
      <c r="I268" s="16" t="str">
        <f t="shared" si="12"/>
        <v/>
      </c>
      <c r="J268" s="17" t="str">
        <f t="shared" si="13"/>
        <v/>
      </c>
      <c r="K268" s="16" t="str">
        <f t="shared" si="14"/>
        <v/>
      </c>
    </row>
    <row r="269" spans="1:11" x14ac:dyDescent="0.35">
      <c r="A269" s="8" t="str">
        <f>Clean_Data!A269</f>
        <v/>
      </c>
      <c r="B269" s="16" t="str">
        <f>IF(A269="","",IF(Clean_Data!C269="","FAIL","PASS"))</f>
        <v/>
      </c>
      <c r="C269" s="16" t="str">
        <f>IF(A269="","",IF(AND(Clean_Data!C269&lt;&gt;"",Clean_Data!J269="NO"),"FAIL","PASS"))</f>
        <v/>
      </c>
      <c r="D269" s="16" t="str">
        <f>IF(A269="","",IF(Clean_Data!E269="","FAIL","PASS"))</f>
        <v/>
      </c>
      <c r="E269" s="16" t="str">
        <f>IF(A269="","",IF(Clean_Data!G269="","FAIL","PASS"))</f>
        <v/>
      </c>
      <c r="F269" s="16" t="str">
        <f>IF(A269="","",IF(Clean_Data!G269="","OK",IF(Clean_Data!G269&gt;16,"FLAG","OK")))</f>
        <v/>
      </c>
      <c r="G269" s="16" t="str">
        <f>IF(A269="","",IF(Clean_Data!H269="","FAIL","PASS"))</f>
        <v/>
      </c>
      <c r="H269" s="16" t="str">
        <f>IF(A269="","",IF(OR(Clean_Data!D269="",Clean_Data!K269="NO"),"FAIL","PASS"))</f>
        <v/>
      </c>
      <c r="I269" s="16" t="str">
        <f t="shared" si="12"/>
        <v/>
      </c>
      <c r="J269" s="17" t="str">
        <f t="shared" si="13"/>
        <v/>
      </c>
      <c r="K269" s="16" t="str">
        <f t="shared" si="14"/>
        <v/>
      </c>
    </row>
    <row r="270" spans="1:11" x14ac:dyDescent="0.35">
      <c r="A270" s="8" t="str">
        <f>Clean_Data!A270</f>
        <v/>
      </c>
      <c r="B270" s="16" t="str">
        <f>IF(A270="","",IF(Clean_Data!C270="","FAIL","PASS"))</f>
        <v/>
      </c>
      <c r="C270" s="16" t="str">
        <f>IF(A270="","",IF(AND(Clean_Data!C270&lt;&gt;"",Clean_Data!J270="NO"),"FAIL","PASS"))</f>
        <v/>
      </c>
      <c r="D270" s="16" t="str">
        <f>IF(A270="","",IF(Clean_Data!E270="","FAIL","PASS"))</f>
        <v/>
      </c>
      <c r="E270" s="16" t="str">
        <f>IF(A270="","",IF(Clean_Data!G270="","FAIL","PASS"))</f>
        <v/>
      </c>
      <c r="F270" s="16" t="str">
        <f>IF(A270="","",IF(Clean_Data!G270="","OK",IF(Clean_Data!G270&gt;16,"FLAG","OK")))</f>
        <v/>
      </c>
      <c r="G270" s="16" t="str">
        <f>IF(A270="","",IF(Clean_Data!H270="","FAIL","PASS"))</f>
        <v/>
      </c>
      <c r="H270" s="16" t="str">
        <f>IF(A270="","",IF(OR(Clean_Data!D270="",Clean_Data!K270="NO"),"FAIL","PASS"))</f>
        <v/>
      </c>
      <c r="I270" s="16" t="str">
        <f t="shared" si="12"/>
        <v/>
      </c>
      <c r="J270" s="17" t="str">
        <f t="shared" si="13"/>
        <v/>
      </c>
      <c r="K270" s="16" t="str">
        <f t="shared" si="14"/>
        <v/>
      </c>
    </row>
    <row r="271" spans="1:11" x14ac:dyDescent="0.35">
      <c r="A271" s="8" t="str">
        <f>Clean_Data!A271</f>
        <v/>
      </c>
      <c r="B271" s="16" t="str">
        <f>IF(A271="","",IF(Clean_Data!C271="","FAIL","PASS"))</f>
        <v/>
      </c>
      <c r="C271" s="16" t="str">
        <f>IF(A271="","",IF(AND(Clean_Data!C271&lt;&gt;"",Clean_Data!J271="NO"),"FAIL","PASS"))</f>
        <v/>
      </c>
      <c r="D271" s="16" t="str">
        <f>IF(A271="","",IF(Clean_Data!E271="","FAIL","PASS"))</f>
        <v/>
      </c>
      <c r="E271" s="16" t="str">
        <f>IF(A271="","",IF(Clean_Data!G271="","FAIL","PASS"))</f>
        <v/>
      </c>
      <c r="F271" s="16" t="str">
        <f>IF(A271="","",IF(Clean_Data!G271="","OK",IF(Clean_Data!G271&gt;16,"FLAG","OK")))</f>
        <v/>
      </c>
      <c r="G271" s="16" t="str">
        <f>IF(A271="","",IF(Clean_Data!H271="","FAIL","PASS"))</f>
        <v/>
      </c>
      <c r="H271" s="16" t="str">
        <f>IF(A271="","",IF(OR(Clean_Data!D271="",Clean_Data!K271="NO"),"FAIL","PASS"))</f>
        <v/>
      </c>
      <c r="I271" s="16" t="str">
        <f t="shared" si="12"/>
        <v/>
      </c>
      <c r="J271" s="17" t="str">
        <f t="shared" si="13"/>
        <v/>
      </c>
      <c r="K271" s="16" t="str">
        <f t="shared" si="14"/>
        <v/>
      </c>
    </row>
    <row r="272" spans="1:11" x14ac:dyDescent="0.35">
      <c r="A272" s="8" t="str">
        <f>Clean_Data!A272</f>
        <v/>
      </c>
      <c r="B272" s="16" t="str">
        <f>IF(A272="","",IF(Clean_Data!C272="","FAIL","PASS"))</f>
        <v/>
      </c>
      <c r="C272" s="16" t="str">
        <f>IF(A272="","",IF(AND(Clean_Data!C272&lt;&gt;"",Clean_Data!J272="NO"),"FAIL","PASS"))</f>
        <v/>
      </c>
      <c r="D272" s="16" t="str">
        <f>IF(A272="","",IF(Clean_Data!E272="","FAIL","PASS"))</f>
        <v/>
      </c>
      <c r="E272" s="16" t="str">
        <f>IF(A272="","",IF(Clean_Data!G272="","FAIL","PASS"))</f>
        <v/>
      </c>
      <c r="F272" s="16" t="str">
        <f>IF(A272="","",IF(Clean_Data!G272="","OK",IF(Clean_Data!G272&gt;16,"FLAG","OK")))</f>
        <v/>
      </c>
      <c r="G272" s="16" t="str">
        <f>IF(A272="","",IF(Clean_Data!H272="","FAIL","PASS"))</f>
        <v/>
      </c>
      <c r="H272" s="16" t="str">
        <f>IF(A272="","",IF(OR(Clean_Data!D272="",Clean_Data!K272="NO"),"FAIL","PASS"))</f>
        <v/>
      </c>
      <c r="I272" s="16" t="str">
        <f t="shared" si="12"/>
        <v/>
      </c>
      <c r="J272" s="17" t="str">
        <f t="shared" si="13"/>
        <v/>
      </c>
      <c r="K272" s="16" t="str">
        <f t="shared" si="14"/>
        <v/>
      </c>
    </row>
    <row r="273" spans="1:11" x14ac:dyDescent="0.35">
      <c r="A273" s="8" t="str">
        <f>Clean_Data!A273</f>
        <v/>
      </c>
      <c r="B273" s="16" t="str">
        <f>IF(A273="","",IF(Clean_Data!C273="","FAIL","PASS"))</f>
        <v/>
      </c>
      <c r="C273" s="16" t="str">
        <f>IF(A273="","",IF(AND(Clean_Data!C273&lt;&gt;"",Clean_Data!J273="NO"),"FAIL","PASS"))</f>
        <v/>
      </c>
      <c r="D273" s="16" t="str">
        <f>IF(A273="","",IF(Clean_Data!E273="","FAIL","PASS"))</f>
        <v/>
      </c>
      <c r="E273" s="16" t="str">
        <f>IF(A273="","",IF(Clean_Data!G273="","FAIL","PASS"))</f>
        <v/>
      </c>
      <c r="F273" s="16" t="str">
        <f>IF(A273="","",IF(Clean_Data!G273="","OK",IF(Clean_Data!G273&gt;16,"FLAG","OK")))</f>
        <v/>
      </c>
      <c r="G273" s="16" t="str">
        <f>IF(A273="","",IF(Clean_Data!H273="","FAIL","PASS"))</f>
        <v/>
      </c>
      <c r="H273" s="16" t="str">
        <f>IF(A273="","",IF(OR(Clean_Data!D273="",Clean_Data!K273="NO"),"FAIL","PASS"))</f>
        <v/>
      </c>
      <c r="I273" s="16" t="str">
        <f t="shared" si="12"/>
        <v/>
      </c>
      <c r="J273" s="17" t="str">
        <f t="shared" si="13"/>
        <v/>
      </c>
      <c r="K273" s="16" t="str">
        <f t="shared" si="14"/>
        <v/>
      </c>
    </row>
    <row r="274" spans="1:11" x14ac:dyDescent="0.35">
      <c r="A274" s="8" t="str">
        <f>Clean_Data!A274</f>
        <v/>
      </c>
      <c r="B274" s="16" t="str">
        <f>IF(A274="","",IF(Clean_Data!C274="","FAIL","PASS"))</f>
        <v/>
      </c>
      <c r="C274" s="16" t="str">
        <f>IF(A274="","",IF(AND(Clean_Data!C274&lt;&gt;"",Clean_Data!J274="NO"),"FAIL","PASS"))</f>
        <v/>
      </c>
      <c r="D274" s="16" t="str">
        <f>IF(A274="","",IF(Clean_Data!E274="","FAIL","PASS"))</f>
        <v/>
      </c>
      <c r="E274" s="16" t="str">
        <f>IF(A274="","",IF(Clean_Data!G274="","FAIL","PASS"))</f>
        <v/>
      </c>
      <c r="F274" s="16" t="str">
        <f>IF(A274="","",IF(Clean_Data!G274="","OK",IF(Clean_Data!G274&gt;16,"FLAG","OK")))</f>
        <v/>
      </c>
      <c r="G274" s="16" t="str">
        <f>IF(A274="","",IF(Clean_Data!H274="","FAIL","PASS"))</f>
        <v/>
      </c>
      <c r="H274" s="16" t="str">
        <f>IF(A274="","",IF(OR(Clean_Data!D274="",Clean_Data!K274="NO"),"FAIL","PASS"))</f>
        <v/>
      </c>
      <c r="I274" s="16" t="str">
        <f t="shared" si="12"/>
        <v/>
      </c>
      <c r="J274" s="17" t="str">
        <f t="shared" si="13"/>
        <v/>
      </c>
      <c r="K274" s="16" t="str">
        <f t="shared" si="14"/>
        <v/>
      </c>
    </row>
    <row r="275" spans="1:11" x14ac:dyDescent="0.35">
      <c r="A275" s="8" t="str">
        <f>Clean_Data!A275</f>
        <v/>
      </c>
      <c r="B275" s="16" t="str">
        <f>IF(A275="","",IF(Clean_Data!C275="","FAIL","PASS"))</f>
        <v/>
      </c>
      <c r="C275" s="16" t="str">
        <f>IF(A275="","",IF(AND(Clean_Data!C275&lt;&gt;"",Clean_Data!J275="NO"),"FAIL","PASS"))</f>
        <v/>
      </c>
      <c r="D275" s="16" t="str">
        <f>IF(A275="","",IF(Clean_Data!E275="","FAIL","PASS"))</f>
        <v/>
      </c>
      <c r="E275" s="16" t="str">
        <f>IF(A275="","",IF(Clean_Data!G275="","FAIL","PASS"))</f>
        <v/>
      </c>
      <c r="F275" s="16" t="str">
        <f>IF(A275="","",IF(Clean_Data!G275="","OK",IF(Clean_Data!G275&gt;16,"FLAG","OK")))</f>
        <v/>
      </c>
      <c r="G275" s="16" t="str">
        <f>IF(A275="","",IF(Clean_Data!H275="","FAIL","PASS"))</f>
        <v/>
      </c>
      <c r="H275" s="16" t="str">
        <f>IF(A275="","",IF(OR(Clean_Data!D275="",Clean_Data!K275="NO"),"FAIL","PASS"))</f>
        <v/>
      </c>
      <c r="I275" s="16" t="str">
        <f t="shared" si="12"/>
        <v/>
      </c>
      <c r="J275" s="17" t="str">
        <f t="shared" si="13"/>
        <v/>
      </c>
      <c r="K275" s="16" t="str">
        <f t="shared" si="14"/>
        <v/>
      </c>
    </row>
    <row r="276" spans="1:11" x14ac:dyDescent="0.35">
      <c r="A276" s="8" t="str">
        <f>Clean_Data!A276</f>
        <v/>
      </c>
      <c r="B276" s="16" t="str">
        <f>IF(A276="","",IF(Clean_Data!C276="","FAIL","PASS"))</f>
        <v/>
      </c>
      <c r="C276" s="16" t="str">
        <f>IF(A276="","",IF(AND(Clean_Data!C276&lt;&gt;"",Clean_Data!J276="NO"),"FAIL","PASS"))</f>
        <v/>
      </c>
      <c r="D276" s="16" t="str">
        <f>IF(A276="","",IF(Clean_Data!E276="","FAIL","PASS"))</f>
        <v/>
      </c>
      <c r="E276" s="16" t="str">
        <f>IF(A276="","",IF(Clean_Data!G276="","FAIL","PASS"))</f>
        <v/>
      </c>
      <c r="F276" s="16" t="str">
        <f>IF(A276="","",IF(Clean_Data!G276="","OK",IF(Clean_Data!G276&gt;16,"FLAG","OK")))</f>
        <v/>
      </c>
      <c r="G276" s="16" t="str">
        <f>IF(A276="","",IF(Clean_Data!H276="","FAIL","PASS"))</f>
        <v/>
      </c>
      <c r="H276" s="16" t="str">
        <f>IF(A276="","",IF(OR(Clean_Data!D276="",Clean_Data!K276="NO"),"FAIL","PASS"))</f>
        <v/>
      </c>
      <c r="I276" s="16" t="str">
        <f t="shared" si="12"/>
        <v/>
      </c>
      <c r="J276" s="17" t="str">
        <f t="shared" si="13"/>
        <v/>
      </c>
      <c r="K276" s="16" t="str">
        <f t="shared" si="14"/>
        <v/>
      </c>
    </row>
    <row r="277" spans="1:11" x14ac:dyDescent="0.35">
      <c r="A277" s="8" t="str">
        <f>Clean_Data!A277</f>
        <v/>
      </c>
      <c r="B277" s="16" t="str">
        <f>IF(A277="","",IF(Clean_Data!C277="","FAIL","PASS"))</f>
        <v/>
      </c>
      <c r="C277" s="16" t="str">
        <f>IF(A277="","",IF(AND(Clean_Data!C277&lt;&gt;"",Clean_Data!J277="NO"),"FAIL","PASS"))</f>
        <v/>
      </c>
      <c r="D277" s="16" t="str">
        <f>IF(A277="","",IF(Clean_Data!E277="","FAIL","PASS"))</f>
        <v/>
      </c>
      <c r="E277" s="16" t="str">
        <f>IF(A277="","",IF(Clean_Data!G277="","FAIL","PASS"))</f>
        <v/>
      </c>
      <c r="F277" s="16" t="str">
        <f>IF(A277="","",IF(Clean_Data!G277="","OK",IF(Clean_Data!G277&gt;16,"FLAG","OK")))</f>
        <v/>
      </c>
      <c r="G277" s="16" t="str">
        <f>IF(A277="","",IF(Clean_Data!H277="","FAIL","PASS"))</f>
        <v/>
      </c>
      <c r="H277" s="16" t="str">
        <f>IF(A277="","",IF(OR(Clean_Data!D277="",Clean_Data!K277="NO"),"FAIL","PASS"))</f>
        <v/>
      </c>
      <c r="I277" s="16" t="str">
        <f t="shared" si="12"/>
        <v/>
      </c>
      <c r="J277" s="17" t="str">
        <f t="shared" si="13"/>
        <v/>
      </c>
      <c r="K277" s="16" t="str">
        <f t="shared" si="14"/>
        <v/>
      </c>
    </row>
    <row r="278" spans="1:11" x14ac:dyDescent="0.35">
      <c r="A278" s="8" t="str">
        <f>Clean_Data!A278</f>
        <v/>
      </c>
      <c r="B278" s="16" t="str">
        <f>IF(A278="","",IF(Clean_Data!C278="","FAIL","PASS"))</f>
        <v/>
      </c>
      <c r="C278" s="16" t="str">
        <f>IF(A278="","",IF(AND(Clean_Data!C278&lt;&gt;"",Clean_Data!J278="NO"),"FAIL","PASS"))</f>
        <v/>
      </c>
      <c r="D278" s="16" t="str">
        <f>IF(A278="","",IF(Clean_Data!E278="","FAIL","PASS"))</f>
        <v/>
      </c>
      <c r="E278" s="16" t="str">
        <f>IF(A278="","",IF(Clean_Data!G278="","FAIL","PASS"))</f>
        <v/>
      </c>
      <c r="F278" s="16" t="str">
        <f>IF(A278="","",IF(Clean_Data!G278="","OK",IF(Clean_Data!G278&gt;16,"FLAG","OK")))</f>
        <v/>
      </c>
      <c r="G278" s="16" t="str">
        <f>IF(A278="","",IF(Clean_Data!H278="","FAIL","PASS"))</f>
        <v/>
      </c>
      <c r="H278" s="16" t="str">
        <f>IF(A278="","",IF(OR(Clean_Data!D278="",Clean_Data!K278="NO"),"FAIL","PASS"))</f>
        <v/>
      </c>
      <c r="I278" s="16" t="str">
        <f t="shared" si="12"/>
        <v/>
      </c>
      <c r="J278" s="17" t="str">
        <f t="shared" si="13"/>
        <v/>
      </c>
      <c r="K278" s="16" t="str">
        <f t="shared" si="14"/>
        <v/>
      </c>
    </row>
    <row r="279" spans="1:11" x14ac:dyDescent="0.35">
      <c r="A279" s="8" t="str">
        <f>Clean_Data!A279</f>
        <v/>
      </c>
      <c r="B279" s="16" t="str">
        <f>IF(A279="","",IF(Clean_Data!C279="","FAIL","PASS"))</f>
        <v/>
      </c>
      <c r="C279" s="16" t="str">
        <f>IF(A279="","",IF(AND(Clean_Data!C279&lt;&gt;"",Clean_Data!J279="NO"),"FAIL","PASS"))</f>
        <v/>
      </c>
      <c r="D279" s="16" t="str">
        <f>IF(A279="","",IF(Clean_Data!E279="","FAIL","PASS"))</f>
        <v/>
      </c>
      <c r="E279" s="16" t="str">
        <f>IF(A279="","",IF(Clean_Data!G279="","FAIL","PASS"))</f>
        <v/>
      </c>
      <c r="F279" s="16" t="str">
        <f>IF(A279="","",IF(Clean_Data!G279="","OK",IF(Clean_Data!G279&gt;16,"FLAG","OK")))</f>
        <v/>
      </c>
      <c r="G279" s="16" t="str">
        <f>IF(A279="","",IF(Clean_Data!H279="","FAIL","PASS"))</f>
        <v/>
      </c>
      <c r="H279" s="16" t="str">
        <f>IF(A279="","",IF(OR(Clean_Data!D279="",Clean_Data!K279="NO"),"FAIL","PASS"))</f>
        <v/>
      </c>
      <c r="I279" s="16" t="str">
        <f t="shared" si="12"/>
        <v/>
      </c>
      <c r="J279" s="17" t="str">
        <f t="shared" si="13"/>
        <v/>
      </c>
      <c r="K279" s="16" t="str">
        <f t="shared" si="14"/>
        <v/>
      </c>
    </row>
    <row r="280" spans="1:11" x14ac:dyDescent="0.35">
      <c r="A280" s="8" t="str">
        <f>Clean_Data!A280</f>
        <v/>
      </c>
      <c r="B280" s="16" t="str">
        <f>IF(A280="","",IF(Clean_Data!C280="","FAIL","PASS"))</f>
        <v/>
      </c>
      <c r="C280" s="16" t="str">
        <f>IF(A280="","",IF(AND(Clean_Data!C280&lt;&gt;"",Clean_Data!J280="NO"),"FAIL","PASS"))</f>
        <v/>
      </c>
      <c r="D280" s="16" t="str">
        <f>IF(A280="","",IF(Clean_Data!E280="","FAIL","PASS"))</f>
        <v/>
      </c>
      <c r="E280" s="16" t="str">
        <f>IF(A280="","",IF(Clean_Data!G280="","FAIL","PASS"))</f>
        <v/>
      </c>
      <c r="F280" s="16" t="str">
        <f>IF(A280="","",IF(Clean_Data!G280="","OK",IF(Clean_Data!G280&gt;16,"FLAG","OK")))</f>
        <v/>
      </c>
      <c r="G280" s="16" t="str">
        <f>IF(A280="","",IF(Clean_Data!H280="","FAIL","PASS"))</f>
        <v/>
      </c>
      <c r="H280" s="16" t="str">
        <f>IF(A280="","",IF(OR(Clean_Data!D280="",Clean_Data!K280="NO"),"FAIL","PASS"))</f>
        <v/>
      </c>
      <c r="I280" s="16" t="str">
        <f t="shared" si="12"/>
        <v/>
      </c>
      <c r="J280" s="17" t="str">
        <f t="shared" si="13"/>
        <v/>
      </c>
      <c r="K280" s="16" t="str">
        <f t="shared" si="14"/>
        <v/>
      </c>
    </row>
    <row r="281" spans="1:11" x14ac:dyDescent="0.35">
      <c r="A281" s="8" t="str">
        <f>Clean_Data!A281</f>
        <v/>
      </c>
      <c r="B281" s="16" t="str">
        <f>IF(A281="","",IF(Clean_Data!C281="","FAIL","PASS"))</f>
        <v/>
      </c>
      <c r="C281" s="16" t="str">
        <f>IF(A281="","",IF(AND(Clean_Data!C281&lt;&gt;"",Clean_Data!J281="NO"),"FAIL","PASS"))</f>
        <v/>
      </c>
      <c r="D281" s="16" t="str">
        <f>IF(A281="","",IF(Clean_Data!E281="","FAIL","PASS"))</f>
        <v/>
      </c>
      <c r="E281" s="16" t="str">
        <f>IF(A281="","",IF(Clean_Data!G281="","FAIL","PASS"))</f>
        <v/>
      </c>
      <c r="F281" s="16" t="str">
        <f>IF(A281="","",IF(Clean_Data!G281="","OK",IF(Clean_Data!G281&gt;16,"FLAG","OK")))</f>
        <v/>
      </c>
      <c r="G281" s="16" t="str">
        <f>IF(A281="","",IF(Clean_Data!H281="","FAIL","PASS"))</f>
        <v/>
      </c>
      <c r="H281" s="16" t="str">
        <f>IF(A281="","",IF(OR(Clean_Data!D281="",Clean_Data!K281="NO"),"FAIL","PASS"))</f>
        <v/>
      </c>
      <c r="I281" s="16" t="str">
        <f t="shared" si="12"/>
        <v/>
      </c>
      <c r="J281" s="17" t="str">
        <f t="shared" si="13"/>
        <v/>
      </c>
      <c r="K281" s="16" t="str">
        <f t="shared" si="14"/>
        <v/>
      </c>
    </row>
    <row r="282" spans="1:11" x14ac:dyDescent="0.35">
      <c r="A282" s="8" t="str">
        <f>Clean_Data!A282</f>
        <v/>
      </c>
      <c r="B282" s="16" t="str">
        <f>IF(A282="","",IF(Clean_Data!C282="","FAIL","PASS"))</f>
        <v/>
      </c>
      <c r="C282" s="16" t="str">
        <f>IF(A282="","",IF(AND(Clean_Data!C282&lt;&gt;"",Clean_Data!J282="NO"),"FAIL","PASS"))</f>
        <v/>
      </c>
      <c r="D282" s="16" t="str">
        <f>IF(A282="","",IF(Clean_Data!E282="","FAIL","PASS"))</f>
        <v/>
      </c>
      <c r="E282" s="16" t="str">
        <f>IF(A282="","",IF(Clean_Data!G282="","FAIL","PASS"))</f>
        <v/>
      </c>
      <c r="F282" s="16" t="str">
        <f>IF(A282="","",IF(Clean_Data!G282="","OK",IF(Clean_Data!G282&gt;16,"FLAG","OK")))</f>
        <v/>
      </c>
      <c r="G282" s="16" t="str">
        <f>IF(A282="","",IF(Clean_Data!H282="","FAIL","PASS"))</f>
        <v/>
      </c>
      <c r="H282" s="16" t="str">
        <f>IF(A282="","",IF(OR(Clean_Data!D282="",Clean_Data!K282="NO"),"FAIL","PASS"))</f>
        <v/>
      </c>
      <c r="I282" s="16" t="str">
        <f t="shared" si="12"/>
        <v/>
      </c>
      <c r="J282" s="17" t="str">
        <f t="shared" si="13"/>
        <v/>
      </c>
      <c r="K282" s="16" t="str">
        <f t="shared" si="14"/>
        <v/>
      </c>
    </row>
    <row r="283" spans="1:11" x14ac:dyDescent="0.35">
      <c r="A283" s="8" t="str">
        <f>Clean_Data!A283</f>
        <v/>
      </c>
      <c r="B283" s="16" t="str">
        <f>IF(A283="","",IF(Clean_Data!C283="","FAIL","PASS"))</f>
        <v/>
      </c>
      <c r="C283" s="16" t="str">
        <f>IF(A283="","",IF(AND(Clean_Data!C283&lt;&gt;"",Clean_Data!J283="NO"),"FAIL","PASS"))</f>
        <v/>
      </c>
      <c r="D283" s="16" t="str">
        <f>IF(A283="","",IF(Clean_Data!E283="","FAIL","PASS"))</f>
        <v/>
      </c>
      <c r="E283" s="16" t="str">
        <f>IF(A283="","",IF(Clean_Data!G283="","FAIL","PASS"))</f>
        <v/>
      </c>
      <c r="F283" s="16" t="str">
        <f>IF(A283="","",IF(Clean_Data!G283="","OK",IF(Clean_Data!G283&gt;16,"FLAG","OK")))</f>
        <v/>
      </c>
      <c r="G283" s="16" t="str">
        <f>IF(A283="","",IF(Clean_Data!H283="","FAIL","PASS"))</f>
        <v/>
      </c>
      <c r="H283" s="16" t="str">
        <f>IF(A283="","",IF(OR(Clean_Data!D283="",Clean_Data!K283="NO"),"FAIL","PASS"))</f>
        <v/>
      </c>
      <c r="I283" s="16" t="str">
        <f t="shared" si="12"/>
        <v/>
      </c>
      <c r="J283" s="17" t="str">
        <f t="shared" si="13"/>
        <v/>
      </c>
      <c r="K283" s="16" t="str">
        <f t="shared" si="14"/>
        <v/>
      </c>
    </row>
    <row r="284" spans="1:11" x14ac:dyDescent="0.35">
      <c r="A284" s="8" t="str">
        <f>Clean_Data!A284</f>
        <v/>
      </c>
      <c r="B284" s="16" t="str">
        <f>IF(A284="","",IF(Clean_Data!C284="","FAIL","PASS"))</f>
        <v/>
      </c>
      <c r="C284" s="16" t="str">
        <f>IF(A284="","",IF(AND(Clean_Data!C284&lt;&gt;"",Clean_Data!J284="NO"),"FAIL","PASS"))</f>
        <v/>
      </c>
      <c r="D284" s="16" t="str">
        <f>IF(A284="","",IF(Clean_Data!E284="","FAIL","PASS"))</f>
        <v/>
      </c>
      <c r="E284" s="16" t="str">
        <f>IF(A284="","",IF(Clean_Data!G284="","FAIL","PASS"))</f>
        <v/>
      </c>
      <c r="F284" s="16" t="str">
        <f>IF(A284="","",IF(Clean_Data!G284="","OK",IF(Clean_Data!G284&gt;16,"FLAG","OK")))</f>
        <v/>
      </c>
      <c r="G284" s="16" t="str">
        <f>IF(A284="","",IF(Clean_Data!H284="","FAIL","PASS"))</f>
        <v/>
      </c>
      <c r="H284" s="16" t="str">
        <f>IF(A284="","",IF(OR(Clean_Data!D284="",Clean_Data!K284="NO"),"FAIL","PASS"))</f>
        <v/>
      </c>
      <c r="I284" s="16" t="str">
        <f t="shared" si="12"/>
        <v/>
      </c>
      <c r="J284" s="17" t="str">
        <f t="shared" si="13"/>
        <v/>
      </c>
      <c r="K284" s="16" t="str">
        <f t="shared" si="14"/>
        <v/>
      </c>
    </row>
    <row r="285" spans="1:11" x14ac:dyDescent="0.35">
      <c r="A285" s="8" t="str">
        <f>Clean_Data!A285</f>
        <v/>
      </c>
      <c r="B285" s="16" t="str">
        <f>IF(A285="","",IF(Clean_Data!C285="","FAIL","PASS"))</f>
        <v/>
      </c>
      <c r="C285" s="16" t="str">
        <f>IF(A285="","",IF(AND(Clean_Data!C285&lt;&gt;"",Clean_Data!J285="NO"),"FAIL","PASS"))</f>
        <v/>
      </c>
      <c r="D285" s="16" t="str">
        <f>IF(A285="","",IF(Clean_Data!E285="","FAIL","PASS"))</f>
        <v/>
      </c>
      <c r="E285" s="16" t="str">
        <f>IF(A285="","",IF(Clean_Data!G285="","FAIL","PASS"))</f>
        <v/>
      </c>
      <c r="F285" s="16" t="str">
        <f>IF(A285="","",IF(Clean_Data!G285="","OK",IF(Clean_Data!G285&gt;16,"FLAG","OK")))</f>
        <v/>
      </c>
      <c r="G285" s="16" t="str">
        <f>IF(A285="","",IF(Clean_Data!H285="","FAIL","PASS"))</f>
        <v/>
      </c>
      <c r="H285" s="16" t="str">
        <f>IF(A285="","",IF(OR(Clean_Data!D285="",Clean_Data!K285="NO"),"FAIL","PASS"))</f>
        <v/>
      </c>
      <c r="I285" s="16" t="str">
        <f t="shared" si="12"/>
        <v/>
      </c>
      <c r="J285" s="17" t="str">
        <f t="shared" si="13"/>
        <v/>
      </c>
      <c r="K285" s="16" t="str">
        <f t="shared" si="14"/>
        <v/>
      </c>
    </row>
    <row r="286" spans="1:11" x14ac:dyDescent="0.35">
      <c r="A286" s="8" t="str">
        <f>Clean_Data!A286</f>
        <v/>
      </c>
      <c r="B286" s="16" t="str">
        <f>IF(A286="","",IF(Clean_Data!C286="","FAIL","PASS"))</f>
        <v/>
      </c>
      <c r="C286" s="16" t="str">
        <f>IF(A286="","",IF(AND(Clean_Data!C286&lt;&gt;"",Clean_Data!J286="NO"),"FAIL","PASS"))</f>
        <v/>
      </c>
      <c r="D286" s="16" t="str">
        <f>IF(A286="","",IF(Clean_Data!E286="","FAIL","PASS"))</f>
        <v/>
      </c>
      <c r="E286" s="16" t="str">
        <f>IF(A286="","",IF(Clean_Data!G286="","FAIL","PASS"))</f>
        <v/>
      </c>
      <c r="F286" s="16" t="str">
        <f>IF(A286="","",IF(Clean_Data!G286="","OK",IF(Clean_Data!G286&gt;16,"FLAG","OK")))</f>
        <v/>
      </c>
      <c r="G286" s="16" t="str">
        <f>IF(A286="","",IF(Clean_Data!H286="","FAIL","PASS"))</f>
        <v/>
      </c>
      <c r="H286" s="16" t="str">
        <f>IF(A286="","",IF(OR(Clean_Data!D286="",Clean_Data!K286="NO"),"FAIL","PASS"))</f>
        <v/>
      </c>
      <c r="I286" s="16" t="str">
        <f t="shared" si="12"/>
        <v/>
      </c>
      <c r="J286" s="17" t="str">
        <f t="shared" si="13"/>
        <v/>
      </c>
      <c r="K286" s="16" t="str">
        <f t="shared" si="14"/>
        <v/>
      </c>
    </row>
    <row r="287" spans="1:11" x14ac:dyDescent="0.35">
      <c r="A287" s="8" t="str">
        <f>Clean_Data!A287</f>
        <v/>
      </c>
      <c r="B287" s="16" t="str">
        <f>IF(A287="","",IF(Clean_Data!C287="","FAIL","PASS"))</f>
        <v/>
      </c>
      <c r="C287" s="16" t="str">
        <f>IF(A287="","",IF(AND(Clean_Data!C287&lt;&gt;"",Clean_Data!J287="NO"),"FAIL","PASS"))</f>
        <v/>
      </c>
      <c r="D287" s="16" t="str">
        <f>IF(A287="","",IF(Clean_Data!E287="","FAIL","PASS"))</f>
        <v/>
      </c>
      <c r="E287" s="16" t="str">
        <f>IF(A287="","",IF(Clean_Data!G287="","FAIL","PASS"))</f>
        <v/>
      </c>
      <c r="F287" s="16" t="str">
        <f>IF(A287="","",IF(Clean_Data!G287="","OK",IF(Clean_Data!G287&gt;16,"FLAG","OK")))</f>
        <v/>
      </c>
      <c r="G287" s="16" t="str">
        <f>IF(A287="","",IF(Clean_Data!H287="","FAIL","PASS"))</f>
        <v/>
      </c>
      <c r="H287" s="16" t="str">
        <f>IF(A287="","",IF(OR(Clean_Data!D287="",Clean_Data!K287="NO"),"FAIL","PASS"))</f>
        <v/>
      </c>
      <c r="I287" s="16" t="str">
        <f t="shared" si="12"/>
        <v/>
      </c>
      <c r="J287" s="17" t="str">
        <f t="shared" si="13"/>
        <v/>
      </c>
      <c r="K287" s="16" t="str">
        <f t="shared" si="14"/>
        <v/>
      </c>
    </row>
    <row r="288" spans="1:11" x14ac:dyDescent="0.35">
      <c r="A288" s="8" t="str">
        <f>Clean_Data!A288</f>
        <v/>
      </c>
      <c r="B288" s="16" t="str">
        <f>IF(A288="","",IF(Clean_Data!C288="","FAIL","PASS"))</f>
        <v/>
      </c>
      <c r="C288" s="16" t="str">
        <f>IF(A288="","",IF(AND(Clean_Data!C288&lt;&gt;"",Clean_Data!J288="NO"),"FAIL","PASS"))</f>
        <v/>
      </c>
      <c r="D288" s="16" t="str">
        <f>IF(A288="","",IF(Clean_Data!E288="","FAIL","PASS"))</f>
        <v/>
      </c>
      <c r="E288" s="16" t="str">
        <f>IF(A288="","",IF(Clean_Data!G288="","FAIL","PASS"))</f>
        <v/>
      </c>
      <c r="F288" s="16" t="str">
        <f>IF(A288="","",IF(Clean_Data!G288="","OK",IF(Clean_Data!G288&gt;16,"FLAG","OK")))</f>
        <v/>
      </c>
      <c r="G288" s="16" t="str">
        <f>IF(A288="","",IF(Clean_Data!H288="","FAIL","PASS"))</f>
        <v/>
      </c>
      <c r="H288" s="16" t="str">
        <f>IF(A288="","",IF(OR(Clean_Data!D288="",Clean_Data!K288="NO"),"FAIL","PASS"))</f>
        <v/>
      </c>
      <c r="I288" s="16" t="str">
        <f t="shared" si="12"/>
        <v/>
      </c>
      <c r="J288" s="17" t="str">
        <f t="shared" si="13"/>
        <v/>
      </c>
      <c r="K288" s="16" t="str">
        <f t="shared" si="14"/>
        <v/>
      </c>
    </row>
    <row r="289" spans="1:11" x14ac:dyDescent="0.35">
      <c r="A289" s="8" t="str">
        <f>Clean_Data!A289</f>
        <v/>
      </c>
      <c r="B289" s="16" t="str">
        <f>IF(A289="","",IF(Clean_Data!C289="","FAIL","PASS"))</f>
        <v/>
      </c>
      <c r="C289" s="16" t="str">
        <f>IF(A289="","",IF(AND(Clean_Data!C289&lt;&gt;"",Clean_Data!J289="NO"),"FAIL","PASS"))</f>
        <v/>
      </c>
      <c r="D289" s="16" t="str">
        <f>IF(A289="","",IF(Clean_Data!E289="","FAIL","PASS"))</f>
        <v/>
      </c>
      <c r="E289" s="16" t="str">
        <f>IF(A289="","",IF(Clean_Data!G289="","FAIL","PASS"))</f>
        <v/>
      </c>
      <c r="F289" s="16" t="str">
        <f>IF(A289="","",IF(Clean_Data!G289="","OK",IF(Clean_Data!G289&gt;16,"FLAG","OK")))</f>
        <v/>
      </c>
      <c r="G289" s="16" t="str">
        <f>IF(A289="","",IF(Clean_Data!H289="","FAIL","PASS"))</f>
        <v/>
      </c>
      <c r="H289" s="16" t="str">
        <f>IF(A289="","",IF(OR(Clean_Data!D289="",Clean_Data!K289="NO"),"FAIL","PASS"))</f>
        <v/>
      </c>
      <c r="I289" s="16" t="str">
        <f t="shared" si="12"/>
        <v/>
      </c>
      <c r="J289" s="17" t="str">
        <f t="shared" si="13"/>
        <v/>
      </c>
      <c r="K289" s="16" t="str">
        <f t="shared" si="14"/>
        <v/>
      </c>
    </row>
    <row r="290" spans="1:11" x14ac:dyDescent="0.35">
      <c r="A290" s="8" t="str">
        <f>Clean_Data!A290</f>
        <v/>
      </c>
      <c r="B290" s="16" t="str">
        <f>IF(A290="","",IF(Clean_Data!C290="","FAIL","PASS"))</f>
        <v/>
      </c>
      <c r="C290" s="16" t="str">
        <f>IF(A290="","",IF(AND(Clean_Data!C290&lt;&gt;"",Clean_Data!J290="NO"),"FAIL","PASS"))</f>
        <v/>
      </c>
      <c r="D290" s="16" t="str">
        <f>IF(A290="","",IF(Clean_Data!E290="","FAIL","PASS"))</f>
        <v/>
      </c>
      <c r="E290" s="16" t="str">
        <f>IF(A290="","",IF(Clean_Data!G290="","FAIL","PASS"))</f>
        <v/>
      </c>
      <c r="F290" s="16" t="str">
        <f>IF(A290="","",IF(Clean_Data!G290="","OK",IF(Clean_Data!G290&gt;16,"FLAG","OK")))</f>
        <v/>
      </c>
      <c r="G290" s="16" t="str">
        <f>IF(A290="","",IF(Clean_Data!H290="","FAIL","PASS"))</f>
        <v/>
      </c>
      <c r="H290" s="16" t="str">
        <f>IF(A290="","",IF(OR(Clean_Data!D290="",Clean_Data!K290="NO"),"FAIL","PASS"))</f>
        <v/>
      </c>
      <c r="I290" s="16" t="str">
        <f t="shared" si="12"/>
        <v/>
      </c>
      <c r="J290" s="17" t="str">
        <f t="shared" si="13"/>
        <v/>
      </c>
      <c r="K290" s="16" t="str">
        <f t="shared" si="14"/>
        <v/>
      </c>
    </row>
    <row r="291" spans="1:11" x14ac:dyDescent="0.35">
      <c r="A291" s="8" t="str">
        <f>Clean_Data!A291</f>
        <v/>
      </c>
      <c r="B291" s="16" t="str">
        <f>IF(A291="","",IF(Clean_Data!C291="","FAIL","PASS"))</f>
        <v/>
      </c>
      <c r="C291" s="16" t="str">
        <f>IF(A291="","",IF(AND(Clean_Data!C291&lt;&gt;"",Clean_Data!J291="NO"),"FAIL","PASS"))</f>
        <v/>
      </c>
      <c r="D291" s="16" t="str">
        <f>IF(A291="","",IF(Clean_Data!E291="","FAIL","PASS"))</f>
        <v/>
      </c>
      <c r="E291" s="16" t="str">
        <f>IF(A291="","",IF(Clean_Data!G291="","FAIL","PASS"))</f>
        <v/>
      </c>
      <c r="F291" s="16" t="str">
        <f>IF(A291="","",IF(Clean_Data!G291="","OK",IF(Clean_Data!G291&gt;16,"FLAG","OK")))</f>
        <v/>
      </c>
      <c r="G291" s="16" t="str">
        <f>IF(A291="","",IF(Clean_Data!H291="","FAIL","PASS"))</f>
        <v/>
      </c>
      <c r="H291" s="16" t="str">
        <f>IF(A291="","",IF(OR(Clean_Data!D291="",Clean_Data!K291="NO"),"FAIL","PASS"))</f>
        <v/>
      </c>
      <c r="I291" s="16" t="str">
        <f t="shared" si="12"/>
        <v/>
      </c>
      <c r="J291" s="17" t="str">
        <f t="shared" si="13"/>
        <v/>
      </c>
      <c r="K291" s="16" t="str">
        <f t="shared" si="14"/>
        <v/>
      </c>
    </row>
    <row r="292" spans="1:11" x14ac:dyDescent="0.35">
      <c r="A292" s="8" t="str">
        <f>Clean_Data!A292</f>
        <v/>
      </c>
      <c r="B292" s="16" t="str">
        <f>IF(A292="","",IF(Clean_Data!C292="","FAIL","PASS"))</f>
        <v/>
      </c>
      <c r="C292" s="16" t="str">
        <f>IF(A292="","",IF(AND(Clean_Data!C292&lt;&gt;"",Clean_Data!J292="NO"),"FAIL","PASS"))</f>
        <v/>
      </c>
      <c r="D292" s="16" t="str">
        <f>IF(A292="","",IF(Clean_Data!E292="","FAIL","PASS"))</f>
        <v/>
      </c>
      <c r="E292" s="16" t="str">
        <f>IF(A292="","",IF(Clean_Data!G292="","FAIL","PASS"))</f>
        <v/>
      </c>
      <c r="F292" s="16" t="str">
        <f>IF(A292="","",IF(Clean_Data!G292="","OK",IF(Clean_Data!G292&gt;16,"FLAG","OK")))</f>
        <v/>
      </c>
      <c r="G292" s="16" t="str">
        <f>IF(A292="","",IF(Clean_Data!H292="","FAIL","PASS"))</f>
        <v/>
      </c>
      <c r="H292" s="16" t="str">
        <f>IF(A292="","",IF(OR(Clean_Data!D292="",Clean_Data!K292="NO"),"FAIL","PASS"))</f>
        <v/>
      </c>
      <c r="I292" s="16" t="str">
        <f t="shared" si="12"/>
        <v/>
      </c>
      <c r="J292" s="17" t="str">
        <f t="shared" si="13"/>
        <v/>
      </c>
      <c r="K292" s="16" t="str">
        <f t="shared" si="14"/>
        <v/>
      </c>
    </row>
    <row r="293" spans="1:11" x14ac:dyDescent="0.35">
      <c r="A293" s="8" t="str">
        <f>Clean_Data!A293</f>
        <v/>
      </c>
      <c r="B293" s="16" t="str">
        <f>IF(A293="","",IF(Clean_Data!C293="","FAIL","PASS"))</f>
        <v/>
      </c>
      <c r="C293" s="16" t="str">
        <f>IF(A293="","",IF(AND(Clean_Data!C293&lt;&gt;"",Clean_Data!J293="NO"),"FAIL","PASS"))</f>
        <v/>
      </c>
      <c r="D293" s="16" t="str">
        <f>IF(A293="","",IF(Clean_Data!E293="","FAIL","PASS"))</f>
        <v/>
      </c>
      <c r="E293" s="16" t="str">
        <f>IF(A293="","",IF(Clean_Data!G293="","FAIL","PASS"))</f>
        <v/>
      </c>
      <c r="F293" s="16" t="str">
        <f>IF(A293="","",IF(Clean_Data!G293="","OK",IF(Clean_Data!G293&gt;16,"FLAG","OK")))</f>
        <v/>
      </c>
      <c r="G293" s="16" t="str">
        <f>IF(A293="","",IF(Clean_Data!H293="","FAIL","PASS"))</f>
        <v/>
      </c>
      <c r="H293" s="16" t="str">
        <f>IF(A293="","",IF(OR(Clean_Data!D293="",Clean_Data!K293="NO"),"FAIL","PASS"))</f>
        <v/>
      </c>
      <c r="I293" s="16" t="str">
        <f t="shared" si="12"/>
        <v/>
      </c>
      <c r="J293" s="17" t="str">
        <f t="shared" si="13"/>
        <v/>
      </c>
      <c r="K293" s="16" t="str">
        <f t="shared" si="14"/>
        <v/>
      </c>
    </row>
    <row r="294" spans="1:11" x14ac:dyDescent="0.35">
      <c r="A294" s="8" t="str">
        <f>Clean_Data!A294</f>
        <v/>
      </c>
      <c r="B294" s="16" t="str">
        <f>IF(A294="","",IF(Clean_Data!C294="","FAIL","PASS"))</f>
        <v/>
      </c>
      <c r="C294" s="16" t="str">
        <f>IF(A294="","",IF(AND(Clean_Data!C294&lt;&gt;"",Clean_Data!J294="NO"),"FAIL","PASS"))</f>
        <v/>
      </c>
      <c r="D294" s="16" t="str">
        <f>IF(A294="","",IF(Clean_Data!E294="","FAIL","PASS"))</f>
        <v/>
      </c>
      <c r="E294" s="16" t="str">
        <f>IF(A294="","",IF(Clean_Data!G294="","FAIL","PASS"))</f>
        <v/>
      </c>
      <c r="F294" s="16" t="str">
        <f>IF(A294="","",IF(Clean_Data!G294="","OK",IF(Clean_Data!G294&gt;16,"FLAG","OK")))</f>
        <v/>
      </c>
      <c r="G294" s="16" t="str">
        <f>IF(A294="","",IF(Clean_Data!H294="","FAIL","PASS"))</f>
        <v/>
      </c>
      <c r="H294" s="16" t="str">
        <f>IF(A294="","",IF(OR(Clean_Data!D294="",Clean_Data!K294="NO"),"FAIL","PASS"))</f>
        <v/>
      </c>
      <c r="I294" s="16" t="str">
        <f t="shared" si="12"/>
        <v/>
      </c>
      <c r="J294" s="17" t="str">
        <f t="shared" si="13"/>
        <v/>
      </c>
      <c r="K294" s="16" t="str">
        <f t="shared" si="14"/>
        <v/>
      </c>
    </row>
    <row r="295" spans="1:11" x14ac:dyDescent="0.35">
      <c r="A295" s="8" t="str">
        <f>Clean_Data!A295</f>
        <v/>
      </c>
      <c r="B295" s="16" t="str">
        <f>IF(A295="","",IF(Clean_Data!C295="","FAIL","PASS"))</f>
        <v/>
      </c>
      <c r="C295" s="16" t="str">
        <f>IF(A295="","",IF(AND(Clean_Data!C295&lt;&gt;"",Clean_Data!J295="NO"),"FAIL","PASS"))</f>
        <v/>
      </c>
      <c r="D295" s="16" t="str">
        <f>IF(A295="","",IF(Clean_Data!E295="","FAIL","PASS"))</f>
        <v/>
      </c>
      <c r="E295" s="16" t="str">
        <f>IF(A295="","",IF(Clean_Data!G295="","FAIL","PASS"))</f>
        <v/>
      </c>
      <c r="F295" s="16" t="str">
        <f>IF(A295="","",IF(Clean_Data!G295="","OK",IF(Clean_Data!G295&gt;16,"FLAG","OK")))</f>
        <v/>
      </c>
      <c r="G295" s="16" t="str">
        <f>IF(A295="","",IF(Clean_Data!H295="","FAIL","PASS"))</f>
        <v/>
      </c>
      <c r="H295" s="16" t="str">
        <f>IF(A295="","",IF(OR(Clean_Data!D295="",Clean_Data!K295="NO"),"FAIL","PASS"))</f>
        <v/>
      </c>
      <c r="I295" s="16" t="str">
        <f t="shared" si="12"/>
        <v/>
      </c>
      <c r="J295" s="17" t="str">
        <f t="shared" si="13"/>
        <v/>
      </c>
      <c r="K295" s="16" t="str">
        <f t="shared" si="14"/>
        <v/>
      </c>
    </row>
    <row r="296" spans="1:11" x14ac:dyDescent="0.35">
      <c r="A296" s="8" t="str">
        <f>Clean_Data!A296</f>
        <v/>
      </c>
      <c r="B296" s="16" t="str">
        <f>IF(A296="","",IF(Clean_Data!C296="","FAIL","PASS"))</f>
        <v/>
      </c>
      <c r="C296" s="16" t="str">
        <f>IF(A296="","",IF(AND(Clean_Data!C296&lt;&gt;"",Clean_Data!J296="NO"),"FAIL","PASS"))</f>
        <v/>
      </c>
      <c r="D296" s="16" t="str">
        <f>IF(A296="","",IF(Clean_Data!E296="","FAIL","PASS"))</f>
        <v/>
      </c>
      <c r="E296" s="16" t="str">
        <f>IF(A296="","",IF(Clean_Data!G296="","FAIL","PASS"))</f>
        <v/>
      </c>
      <c r="F296" s="16" t="str">
        <f>IF(A296="","",IF(Clean_Data!G296="","OK",IF(Clean_Data!G296&gt;16,"FLAG","OK")))</f>
        <v/>
      </c>
      <c r="G296" s="16" t="str">
        <f>IF(A296="","",IF(Clean_Data!H296="","FAIL","PASS"))</f>
        <v/>
      </c>
      <c r="H296" s="16" t="str">
        <f>IF(A296="","",IF(OR(Clean_Data!D296="",Clean_Data!K296="NO"),"FAIL","PASS"))</f>
        <v/>
      </c>
      <c r="I296" s="16" t="str">
        <f t="shared" si="12"/>
        <v/>
      </c>
      <c r="J296" s="17" t="str">
        <f t="shared" si="13"/>
        <v/>
      </c>
      <c r="K296" s="16" t="str">
        <f t="shared" si="14"/>
        <v/>
      </c>
    </row>
    <row r="297" spans="1:11" x14ac:dyDescent="0.35">
      <c r="A297" s="8" t="str">
        <f>Clean_Data!A297</f>
        <v/>
      </c>
      <c r="B297" s="16" t="str">
        <f>IF(A297="","",IF(Clean_Data!C297="","FAIL","PASS"))</f>
        <v/>
      </c>
      <c r="C297" s="16" t="str">
        <f>IF(A297="","",IF(AND(Clean_Data!C297&lt;&gt;"",Clean_Data!J297="NO"),"FAIL","PASS"))</f>
        <v/>
      </c>
      <c r="D297" s="16" t="str">
        <f>IF(A297="","",IF(Clean_Data!E297="","FAIL","PASS"))</f>
        <v/>
      </c>
      <c r="E297" s="16" t="str">
        <f>IF(A297="","",IF(Clean_Data!G297="","FAIL","PASS"))</f>
        <v/>
      </c>
      <c r="F297" s="16" t="str">
        <f>IF(A297="","",IF(Clean_Data!G297="","OK",IF(Clean_Data!G297&gt;16,"FLAG","OK")))</f>
        <v/>
      </c>
      <c r="G297" s="16" t="str">
        <f>IF(A297="","",IF(Clean_Data!H297="","FAIL","PASS"))</f>
        <v/>
      </c>
      <c r="H297" s="16" t="str">
        <f>IF(A297="","",IF(OR(Clean_Data!D297="",Clean_Data!K297="NO"),"FAIL","PASS"))</f>
        <v/>
      </c>
      <c r="I297" s="16" t="str">
        <f t="shared" si="12"/>
        <v/>
      </c>
      <c r="J297" s="17" t="str">
        <f t="shared" si="13"/>
        <v/>
      </c>
      <c r="K297" s="16" t="str">
        <f t="shared" si="14"/>
        <v/>
      </c>
    </row>
    <row r="298" spans="1:11" x14ac:dyDescent="0.35">
      <c r="A298" s="8" t="str">
        <f>Clean_Data!A298</f>
        <v/>
      </c>
      <c r="B298" s="16" t="str">
        <f>IF(A298="","",IF(Clean_Data!C298="","FAIL","PASS"))</f>
        <v/>
      </c>
      <c r="C298" s="16" t="str">
        <f>IF(A298="","",IF(AND(Clean_Data!C298&lt;&gt;"",Clean_Data!J298="NO"),"FAIL","PASS"))</f>
        <v/>
      </c>
      <c r="D298" s="16" t="str">
        <f>IF(A298="","",IF(Clean_Data!E298="","FAIL","PASS"))</f>
        <v/>
      </c>
      <c r="E298" s="16" t="str">
        <f>IF(A298="","",IF(Clean_Data!G298="","FAIL","PASS"))</f>
        <v/>
      </c>
      <c r="F298" s="16" t="str">
        <f>IF(A298="","",IF(Clean_Data!G298="","OK",IF(Clean_Data!G298&gt;16,"FLAG","OK")))</f>
        <v/>
      </c>
      <c r="G298" s="16" t="str">
        <f>IF(A298="","",IF(Clean_Data!H298="","FAIL","PASS"))</f>
        <v/>
      </c>
      <c r="H298" s="16" t="str">
        <f>IF(A298="","",IF(OR(Clean_Data!D298="",Clean_Data!K298="NO"),"FAIL","PASS"))</f>
        <v/>
      </c>
      <c r="I298" s="16" t="str">
        <f t="shared" si="12"/>
        <v/>
      </c>
      <c r="J298" s="17" t="str">
        <f t="shared" si="13"/>
        <v/>
      </c>
      <c r="K298" s="16" t="str">
        <f t="shared" si="14"/>
        <v/>
      </c>
    </row>
    <row r="299" spans="1:11" x14ac:dyDescent="0.35">
      <c r="A299" s="8" t="str">
        <f>Clean_Data!A299</f>
        <v/>
      </c>
      <c r="B299" s="16" t="str">
        <f>IF(A299="","",IF(Clean_Data!C299="","FAIL","PASS"))</f>
        <v/>
      </c>
      <c r="C299" s="16" t="str">
        <f>IF(A299="","",IF(AND(Clean_Data!C299&lt;&gt;"",Clean_Data!J299="NO"),"FAIL","PASS"))</f>
        <v/>
      </c>
      <c r="D299" s="16" t="str">
        <f>IF(A299="","",IF(Clean_Data!E299="","FAIL","PASS"))</f>
        <v/>
      </c>
      <c r="E299" s="16" t="str">
        <f>IF(A299="","",IF(Clean_Data!G299="","FAIL","PASS"))</f>
        <v/>
      </c>
      <c r="F299" s="16" t="str">
        <f>IF(A299="","",IF(Clean_Data!G299="","OK",IF(Clean_Data!G299&gt;16,"FLAG","OK")))</f>
        <v/>
      </c>
      <c r="G299" s="16" t="str">
        <f>IF(A299="","",IF(Clean_Data!H299="","FAIL","PASS"))</f>
        <v/>
      </c>
      <c r="H299" s="16" t="str">
        <f>IF(A299="","",IF(OR(Clean_Data!D299="",Clean_Data!K299="NO"),"FAIL","PASS"))</f>
        <v/>
      </c>
      <c r="I299" s="16" t="str">
        <f t="shared" si="12"/>
        <v/>
      </c>
      <c r="J299" s="17" t="str">
        <f t="shared" si="13"/>
        <v/>
      </c>
      <c r="K299" s="16" t="str">
        <f t="shared" si="14"/>
        <v/>
      </c>
    </row>
    <row r="300" spans="1:11" x14ac:dyDescent="0.35">
      <c r="A300" s="8" t="str">
        <f>Clean_Data!A300</f>
        <v/>
      </c>
      <c r="B300" s="16" t="str">
        <f>IF(A300="","",IF(Clean_Data!C300="","FAIL","PASS"))</f>
        <v/>
      </c>
      <c r="C300" s="16" t="str">
        <f>IF(A300="","",IF(AND(Clean_Data!C300&lt;&gt;"",Clean_Data!J300="NO"),"FAIL","PASS"))</f>
        <v/>
      </c>
      <c r="D300" s="16" t="str">
        <f>IF(A300="","",IF(Clean_Data!E300="","FAIL","PASS"))</f>
        <v/>
      </c>
      <c r="E300" s="16" t="str">
        <f>IF(A300="","",IF(Clean_Data!G300="","FAIL","PASS"))</f>
        <v/>
      </c>
      <c r="F300" s="16" t="str">
        <f>IF(A300="","",IF(Clean_Data!G300="","OK",IF(Clean_Data!G300&gt;16,"FLAG","OK")))</f>
        <v/>
      </c>
      <c r="G300" s="16" t="str">
        <f>IF(A300="","",IF(Clean_Data!H300="","FAIL","PASS"))</f>
        <v/>
      </c>
      <c r="H300" s="16" t="str">
        <f>IF(A300="","",IF(OR(Clean_Data!D300="",Clean_Data!K300="NO"),"FAIL","PASS"))</f>
        <v/>
      </c>
      <c r="I300" s="16" t="str">
        <f t="shared" si="12"/>
        <v/>
      </c>
      <c r="J300" s="17" t="str">
        <f t="shared" si="13"/>
        <v/>
      </c>
      <c r="K300" s="16" t="str">
        <f t="shared" si="14"/>
        <v/>
      </c>
    </row>
    <row r="301" spans="1:11" x14ac:dyDescent="0.35">
      <c r="A301" s="8" t="str">
        <f>Clean_Data!A301</f>
        <v/>
      </c>
      <c r="B301" s="16" t="str">
        <f>IF(A301="","",IF(Clean_Data!C301="","FAIL","PASS"))</f>
        <v/>
      </c>
      <c r="C301" s="16" t="str">
        <f>IF(A301="","",IF(AND(Clean_Data!C301&lt;&gt;"",Clean_Data!J301="NO"),"FAIL","PASS"))</f>
        <v/>
      </c>
      <c r="D301" s="16" t="str">
        <f>IF(A301="","",IF(Clean_Data!E301="","FAIL","PASS"))</f>
        <v/>
      </c>
      <c r="E301" s="16" t="str">
        <f>IF(A301="","",IF(Clean_Data!G301="","FAIL","PASS"))</f>
        <v/>
      </c>
      <c r="F301" s="16" t="str">
        <f>IF(A301="","",IF(Clean_Data!G301="","OK",IF(Clean_Data!G301&gt;16,"FLAG","OK")))</f>
        <v/>
      </c>
      <c r="G301" s="16" t="str">
        <f>IF(A301="","",IF(Clean_Data!H301="","FAIL","PASS"))</f>
        <v/>
      </c>
      <c r="H301" s="16" t="str">
        <f>IF(A301="","",IF(OR(Clean_Data!D301="",Clean_Data!K301="NO"),"FAIL","PASS"))</f>
        <v/>
      </c>
      <c r="I301" s="16" t="str">
        <f t="shared" si="12"/>
        <v/>
      </c>
      <c r="J301" s="17" t="str">
        <f t="shared" si="13"/>
        <v/>
      </c>
      <c r="K301" s="16" t="str">
        <f t="shared" si="14"/>
        <v/>
      </c>
    </row>
    <row r="302" spans="1:11" x14ac:dyDescent="0.35">
      <c r="A302" s="8" t="str">
        <f>Clean_Data!A302</f>
        <v/>
      </c>
      <c r="B302" s="16" t="str">
        <f>IF(A302="","",IF(Clean_Data!C302="","FAIL","PASS"))</f>
        <v/>
      </c>
      <c r="C302" s="16" t="str">
        <f>IF(A302="","",IF(AND(Clean_Data!C302&lt;&gt;"",Clean_Data!J302="NO"),"FAIL","PASS"))</f>
        <v/>
      </c>
      <c r="D302" s="16" t="str">
        <f>IF(A302="","",IF(Clean_Data!E302="","FAIL","PASS"))</f>
        <v/>
      </c>
      <c r="E302" s="16" t="str">
        <f>IF(A302="","",IF(Clean_Data!G302="","FAIL","PASS"))</f>
        <v/>
      </c>
      <c r="F302" s="16" t="str">
        <f>IF(A302="","",IF(Clean_Data!G302="","OK",IF(Clean_Data!G302&gt;16,"FLAG","OK")))</f>
        <v/>
      </c>
      <c r="G302" s="16" t="str">
        <f>IF(A302="","",IF(Clean_Data!H302="","FAIL","PASS"))</f>
        <v/>
      </c>
      <c r="H302" s="16" t="str">
        <f>IF(A302="","",IF(OR(Clean_Data!D302="",Clean_Data!K302="NO"),"FAIL","PASS"))</f>
        <v/>
      </c>
      <c r="I302" s="16" t="str">
        <f t="shared" si="12"/>
        <v/>
      </c>
      <c r="J302" s="17" t="str">
        <f t="shared" si="13"/>
        <v/>
      </c>
      <c r="K302" s="16" t="str">
        <f t="shared" si="14"/>
        <v/>
      </c>
    </row>
    <row r="303" spans="1:11" x14ac:dyDescent="0.35">
      <c r="A303" s="8" t="str">
        <f>Clean_Data!A303</f>
        <v/>
      </c>
      <c r="B303" s="16" t="str">
        <f>IF(A303="","",IF(Clean_Data!C303="","FAIL","PASS"))</f>
        <v/>
      </c>
      <c r="C303" s="16" t="str">
        <f>IF(A303="","",IF(AND(Clean_Data!C303&lt;&gt;"",Clean_Data!J303="NO"),"FAIL","PASS"))</f>
        <v/>
      </c>
      <c r="D303" s="16" t="str">
        <f>IF(A303="","",IF(Clean_Data!E303="","FAIL","PASS"))</f>
        <v/>
      </c>
      <c r="E303" s="16" t="str">
        <f>IF(A303="","",IF(Clean_Data!G303="","FAIL","PASS"))</f>
        <v/>
      </c>
      <c r="F303" s="16" t="str">
        <f>IF(A303="","",IF(Clean_Data!G303="","OK",IF(Clean_Data!G303&gt;16,"FLAG","OK")))</f>
        <v/>
      </c>
      <c r="G303" s="16" t="str">
        <f>IF(A303="","",IF(Clean_Data!H303="","FAIL","PASS"))</f>
        <v/>
      </c>
      <c r="H303" s="16" t="str">
        <f>IF(A303="","",IF(OR(Clean_Data!D303="",Clean_Data!K303="NO"),"FAIL","PASS"))</f>
        <v/>
      </c>
      <c r="I303" s="16" t="str">
        <f t="shared" si="12"/>
        <v/>
      </c>
      <c r="J303" s="17" t="str">
        <f t="shared" si="13"/>
        <v/>
      </c>
      <c r="K303" s="16" t="str">
        <f t="shared" si="14"/>
        <v/>
      </c>
    </row>
    <row r="304" spans="1:11" x14ac:dyDescent="0.35">
      <c r="A304" s="8" t="str">
        <f>Clean_Data!A304</f>
        <v/>
      </c>
      <c r="B304" s="16" t="str">
        <f>IF(A304="","",IF(Clean_Data!C304="","FAIL","PASS"))</f>
        <v/>
      </c>
      <c r="C304" s="16" t="str">
        <f>IF(A304="","",IF(AND(Clean_Data!C304&lt;&gt;"",Clean_Data!J304="NO"),"FAIL","PASS"))</f>
        <v/>
      </c>
      <c r="D304" s="16" t="str">
        <f>IF(A304="","",IF(Clean_Data!E304="","FAIL","PASS"))</f>
        <v/>
      </c>
      <c r="E304" s="16" t="str">
        <f>IF(A304="","",IF(Clean_Data!G304="","FAIL","PASS"))</f>
        <v/>
      </c>
      <c r="F304" s="16" t="str">
        <f>IF(A304="","",IF(Clean_Data!G304="","OK",IF(Clean_Data!G304&gt;16,"FLAG","OK")))</f>
        <v/>
      </c>
      <c r="G304" s="16" t="str">
        <f>IF(A304="","",IF(Clean_Data!H304="","FAIL","PASS"))</f>
        <v/>
      </c>
      <c r="H304" s="16" t="str">
        <f>IF(A304="","",IF(OR(Clean_Data!D304="",Clean_Data!K304="NO"),"FAIL","PASS"))</f>
        <v/>
      </c>
      <c r="I304" s="16" t="str">
        <f t="shared" si="12"/>
        <v/>
      </c>
      <c r="J304" s="17" t="str">
        <f t="shared" si="13"/>
        <v/>
      </c>
      <c r="K304" s="16" t="str">
        <f t="shared" si="14"/>
        <v/>
      </c>
    </row>
    <row r="305" spans="1:11" x14ac:dyDescent="0.35">
      <c r="A305" s="8" t="str">
        <f>Clean_Data!A305</f>
        <v/>
      </c>
      <c r="B305" s="16" t="str">
        <f>IF(A305="","",IF(Clean_Data!C305="","FAIL","PASS"))</f>
        <v/>
      </c>
      <c r="C305" s="16" t="str">
        <f>IF(A305="","",IF(AND(Clean_Data!C305&lt;&gt;"",Clean_Data!J305="NO"),"FAIL","PASS"))</f>
        <v/>
      </c>
      <c r="D305" s="16" t="str">
        <f>IF(A305="","",IF(Clean_Data!E305="","FAIL","PASS"))</f>
        <v/>
      </c>
      <c r="E305" s="16" t="str">
        <f>IF(A305="","",IF(Clean_Data!G305="","FAIL","PASS"))</f>
        <v/>
      </c>
      <c r="F305" s="16" t="str">
        <f>IF(A305="","",IF(Clean_Data!G305="","OK",IF(Clean_Data!G305&gt;16,"FLAG","OK")))</f>
        <v/>
      </c>
      <c r="G305" s="16" t="str">
        <f>IF(A305="","",IF(Clean_Data!H305="","FAIL","PASS"))</f>
        <v/>
      </c>
      <c r="H305" s="16" t="str">
        <f>IF(A305="","",IF(OR(Clean_Data!D305="",Clean_Data!K305="NO"),"FAIL","PASS"))</f>
        <v/>
      </c>
      <c r="I305" s="16" t="str">
        <f t="shared" si="12"/>
        <v/>
      </c>
      <c r="J305" s="17" t="str">
        <f t="shared" si="13"/>
        <v/>
      </c>
      <c r="K305" s="16" t="str">
        <f t="shared" si="14"/>
        <v/>
      </c>
    </row>
    <row r="306" spans="1:11" x14ac:dyDescent="0.35">
      <c r="A306" s="8" t="str">
        <f>Clean_Data!A306</f>
        <v/>
      </c>
      <c r="B306" s="16" t="str">
        <f>IF(A306="","",IF(Clean_Data!C306="","FAIL","PASS"))</f>
        <v/>
      </c>
      <c r="C306" s="16" t="str">
        <f>IF(A306="","",IF(AND(Clean_Data!C306&lt;&gt;"",Clean_Data!J306="NO"),"FAIL","PASS"))</f>
        <v/>
      </c>
      <c r="D306" s="16" t="str">
        <f>IF(A306="","",IF(Clean_Data!E306="","FAIL","PASS"))</f>
        <v/>
      </c>
      <c r="E306" s="16" t="str">
        <f>IF(A306="","",IF(Clean_Data!G306="","FAIL","PASS"))</f>
        <v/>
      </c>
      <c r="F306" s="16" t="str">
        <f>IF(A306="","",IF(Clean_Data!G306="","OK",IF(Clean_Data!G306&gt;16,"FLAG","OK")))</f>
        <v/>
      </c>
      <c r="G306" s="16" t="str">
        <f>IF(A306="","",IF(Clean_Data!H306="","FAIL","PASS"))</f>
        <v/>
      </c>
      <c r="H306" s="16" t="str">
        <f>IF(A306="","",IF(OR(Clean_Data!D306="",Clean_Data!K306="NO"),"FAIL","PASS"))</f>
        <v/>
      </c>
      <c r="I306" s="16" t="str">
        <f t="shared" si="12"/>
        <v/>
      </c>
      <c r="J306" s="17" t="str">
        <f t="shared" si="13"/>
        <v/>
      </c>
      <c r="K306" s="16" t="str">
        <f t="shared" si="14"/>
        <v/>
      </c>
    </row>
    <row r="307" spans="1:11" x14ac:dyDescent="0.35">
      <c r="A307" s="8" t="str">
        <f>Clean_Data!A307</f>
        <v/>
      </c>
      <c r="B307" s="16" t="str">
        <f>IF(A307="","",IF(Clean_Data!C307="","FAIL","PASS"))</f>
        <v/>
      </c>
      <c r="C307" s="16" t="str">
        <f>IF(A307="","",IF(AND(Clean_Data!C307&lt;&gt;"",Clean_Data!J307="NO"),"FAIL","PASS"))</f>
        <v/>
      </c>
      <c r="D307" s="16" t="str">
        <f>IF(A307="","",IF(Clean_Data!E307="","FAIL","PASS"))</f>
        <v/>
      </c>
      <c r="E307" s="16" t="str">
        <f>IF(A307="","",IF(Clean_Data!G307="","FAIL","PASS"))</f>
        <v/>
      </c>
      <c r="F307" s="16" t="str">
        <f>IF(A307="","",IF(Clean_Data!G307="","OK",IF(Clean_Data!G307&gt;16,"FLAG","OK")))</f>
        <v/>
      </c>
      <c r="G307" s="16" t="str">
        <f>IF(A307="","",IF(Clean_Data!H307="","FAIL","PASS"))</f>
        <v/>
      </c>
      <c r="H307" s="16" t="str">
        <f>IF(A307="","",IF(OR(Clean_Data!D307="",Clean_Data!K307="NO"),"FAIL","PASS"))</f>
        <v/>
      </c>
      <c r="I307" s="16" t="str">
        <f t="shared" si="12"/>
        <v/>
      </c>
      <c r="J307" s="17" t="str">
        <f t="shared" si="13"/>
        <v/>
      </c>
      <c r="K307" s="16" t="str">
        <f t="shared" si="14"/>
        <v/>
      </c>
    </row>
    <row r="308" spans="1:11" x14ac:dyDescent="0.35">
      <c r="A308" s="8" t="str">
        <f>Clean_Data!A308</f>
        <v/>
      </c>
      <c r="B308" s="16" t="str">
        <f>IF(A308="","",IF(Clean_Data!C308="","FAIL","PASS"))</f>
        <v/>
      </c>
      <c r="C308" s="16" t="str">
        <f>IF(A308="","",IF(AND(Clean_Data!C308&lt;&gt;"",Clean_Data!J308="NO"),"FAIL","PASS"))</f>
        <v/>
      </c>
      <c r="D308" s="16" t="str">
        <f>IF(A308="","",IF(Clean_Data!E308="","FAIL","PASS"))</f>
        <v/>
      </c>
      <c r="E308" s="16" t="str">
        <f>IF(A308="","",IF(Clean_Data!G308="","FAIL","PASS"))</f>
        <v/>
      </c>
      <c r="F308" s="16" t="str">
        <f>IF(A308="","",IF(Clean_Data!G308="","OK",IF(Clean_Data!G308&gt;16,"FLAG","OK")))</f>
        <v/>
      </c>
      <c r="G308" s="16" t="str">
        <f>IF(A308="","",IF(Clean_Data!H308="","FAIL","PASS"))</f>
        <v/>
      </c>
      <c r="H308" s="16" t="str">
        <f>IF(A308="","",IF(OR(Clean_Data!D308="",Clean_Data!K308="NO"),"FAIL","PASS"))</f>
        <v/>
      </c>
      <c r="I308" s="16" t="str">
        <f t="shared" si="12"/>
        <v/>
      </c>
      <c r="J308" s="17" t="str">
        <f t="shared" si="13"/>
        <v/>
      </c>
      <c r="K308" s="16" t="str">
        <f t="shared" si="14"/>
        <v/>
      </c>
    </row>
    <row r="309" spans="1:11" x14ac:dyDescent="0.35">
      <c r="A309" s="8" t="str">
        <f>Clean_Data!A309</f>
        <v/>
      </c>
      <c r="B309" s="16" t="str">
        <f>IF(A309="","",IF(Clean_Data!C309="","FAIL","PASS"))</f>
        <v/>
      </c>
      <c r="C309" s="16" t="str">
        <f>IF(A309="","",IF(AND(Clean_Data!C309&lt;&gt;"",Clean_Data!J309="NO"),"FAIL","PASS"))</f>
        <v/>
      </c>
      <c r="D309" s="16" t="str">
        <f>IF(A309="","",IF(Clean_Data!E309="","FAIL","PASS"))</f>
        <v/>
      </c>
      <c r="E309" s="16" t="str">
        <f>IF(A309="","",IF(Clean_Data!G309="","FAIL","PASS"))</f>
        <v/>
      </c>
      <c r="F309" s="16" t="str">
        <f>IF(A309="","",IF(Clean_Data!G309="","OK",IF(Clean_Data!G309&gt;16,"FLAG","OK")))</f>
        <v/>
      </c>
      <c r="G309" s="16" t="str">
        <f>IF(A309="","",IF(Clean_Data!H309="","FAIL","PASS"))</f>
        <v/>
      </c>
      <c r="H309" s="16" t="str">
        <f>IF(A309="","",IF(OR(Clean_Data!D309="",Clean_Data!K309="NO"),"FAIL","PASS"))</f>
        <v/>
      </c>
      <c r="I309" s="16" t="str">
        <f t="shared" si="12"/>
        <v/>
      </c>
      <c r="J309" s="17" t="str">
        <f t="shared" si="13"/>
        <v/>
      </c>
      <c r="K309" s="16" t="str">
        <f t="shared" si="14"/>
        <v/>
      </c>
    </row>
    <row r="310" spans="1:11" x14ac:dyDescent="0.35">
      <c r="A310" s="8" t="str">
        <f>Clean_Data!A310</f>
        <v/>
      </c>
      <c r="B310" s="16" t="str">
        <f>IF(A310="","",IF(Clean_Data!C310="","FAIL","PASS"))</f>
        <v/>
      </c>
      <c r="C310" s="16" t="str">
        <f>IF(A310="","",IF(AND(Clean_Data!C310&lt;&gt;"",Clean_Data!J310="NO"),"FAIL","PASS"))</f>
        <v/>
      </c>
      <c r="D310" s="16" t="str">
        <f>IF(A310="","",IF(Clean_Data!E310="","FAIL","PASS"))</f>
        <v/>
      </c>
      <c r="E310" s="16" t="str">
        <f>IF(A310="","",IF(Clean_Data!G310="","FAIL","PASS"))</f>
        <v/>
      </c>
      <c r="F310" s="16" t="str">
        <f>IF(A310="","",IF(Clean_Data!G310="","OK",IF(Clean_Data!G310&gt;16,"FLAG","OK")))</f>
        <v/>
      </c>
      <c r="G310" s="16" t="str">
        <f>IF(A310="","",IF(Clean_Data!H310="","FAIL","PASS"))</f>
        <v/>
      </c>
      <c r="H310" s="16" t="str">
        <f>IF(A310="","",IF(OR(Clean_Data!D310="",Clean_Data!K310="NO"),"FAIL","PASS"))</f>
        <v/>
      </c>
      <c r="I310" s="16" t="str">
        <f t="shared" si="12"/>
        <v/>
      </c>
      <c r="J310" s="17" t="str">
        <f t="shared" si="13"/>
        <v/>
      </c>
      <c r="K310" s="16" t="str">
        <f t="shared" si="14"/>
        <v/>
      </c>
    </row>
    <row r="311" spans="1:11" x14ac:dyDescent="0.35">
      <c r="A311" s="8" t="str">
        <f>Clean_Data!A311</f>
        <v/>
      </c>
      <c r="B311" s="16" t="str">
        <f>IF(A311="","",IF(Clean_Data!C311="","FAIL","PASS"))</f>
        <v/>
      </c>
      <c r="C311" s="16" t="str">
        <f>IF(A311="","",IF(AND(Clean_Data!C311&lt;&gt;"",Clean_Data!J311="NO"),"FAIL","PASS"))</f>
        <v/>
      </c>
      <c r="D311" s="16" t="str">
        <f>IF(A311="","",IF(Clean_Data!E311="","FAIL","PASS"))</f>
        <v/>
      </c>
      <c r="E311" s="16" t="str">
        <f>IF(A311="","",IF(Clean_Data!G311="","FAIL","PASS"))</f>
        <v/>
      </c>
      <c r="F311" s="16" t="str">
        <f>IF(A311="","",IF(Clean_Data!G311="","OK",IF(Clean_Data!G311&gt;16,"FLAG","OK")))</f>
        <v/>
      </c>
      <c r="G311" s="16" t="str">
        <f>IF(A311="","",IF(Clean_Data!H311="","FAIL","PASS"))</f>
        <v/>
      </c>
      <c r="H311" s="16" t="str">
        <f>IF(A311="","",IF(OR(Clean_Data!D311="",Clean_Data!K311="NO"),"FAIL","PASS"))</f>
        <v/>
      </c>
      <c r="I311" s="16" t="str">
        <f t="shared" si="12"/>
        <v/>
      </c>
      <c r="J311" s="17" t="str">
        <f t="shared" si="13"/>
        <v/>
      </c>
      <c r="K311" s="16" t="str">
        <f t="shared" si="14"/>
        <v/>
      </c>
    </row>
    <row r="312" spans="1:11" x14ac:dyDescent="0.35">
      <c r="A312" s="8" t="str">
        <f>Clean_Data!A312</f>
        <v/>
      </c>
      <c r="B312" s="16" t="str">
        <f>IF(A312="","",IF(Clean_Data!C312="","FAIL","PASS"))</f>
        <v/>
      </c>
      <c r="C312" s="16" t="str">
        <f>IF(A312="","",IF(AND(Clean_Data!C312&lt;&gt;"",Clean_Data!J312="NO"),"FAIL","PASS"))</f>
        <v/>
      </c>
      <c r="D312" s="16" t="str">
        <f>IF(A312="","",IF(Clean_Data!E312="","FAIL","PASS"))</f>
        <v/>
      </c>
      <c r="E312" s="16" t="str">
        <f>IF(A312="","",IF(Clean_Data!G312="","FAIL","PASS"))</f>
        <v/>
      </c>
      <c r="F312" s="16" t="str">
        <f>IF(A312="","",IF(Clean_Data!G312="","OK",IF(Clean_Data!G312&gt;16,"FLAG","OK")))</f>
        <v/>
      </c>
      <c r="G312" s="16" t="str">
        <f>IF(A312="","",IF(Clean_Data!H312="","FAIL","PASS"))</f>
        <v/>
      </c>
      <c r="H312" s="16" t="str">
        <f>IF(A312="","",IF(OR(Clean_Data!D312="",Clean_Data!K312="NO"),"FAIL","PASS"))</f>
        <v/>
      </c>
      <c r="I312" s="16" t="str">
        <f t="shared" si="12"/>
        <v/>
      </c>
      <c r="J312" s="17" t="str">
        <f t="shared" si="13"/>
        <v/>
      </c>
      <c r="K312" s="16" t="str">
        <f t="shared" si="14"/>
        <v/>
      </c>
    </row>
    <row r="313" spans="1:11" x14ac:dyDescent="0.35">
      <c r="A313" s="8" t="str">
        <f>Clean_Data!A313</f>
        <v/>
      </c>
      <c r="B313" s="16" t="str">
        <f>IF(A313="","",IF(Clean_Data!C313="","FAIL","PASS"))</f>
        <v/>
      </c>
      <c r="C313" s="16" t="str">
        <f>IF(A313="","",IF(AND(Clean_Data!C313&lt;&gt;"",Clean_Data!J313="NO"),"FAIL","PASS"))</f>
        <v/>
      </c>
      <c r="D313" s="16" t="str">
        <f>IF(A313="","",IF(Clean_Data!E313="","FAIL","PASS"))</f>
        <v/>
      </c>
      <c r="E313" s="16" t="str">
        <f>IF(A313="","",IF(Clean_Data!G313="","FAIL","PASS"))</f>
        <v/>
      </c>
      <c r="F313" s="16" t="str">
        <f>IF(A313="","",IF(Clean_Data!G313="","OK",IF(Clean_Data!G313&gt;16,"FLAG","OK")))</f>
        <v/>
      </c>
      <c r="G313" s="16" t="str">
        <f>IF(A313="","",IF(Clean_Data!H313="","FAIL","PASS"))</f>
        <v/>
      </c>
      <c r="H313" s="16" t="str">
        <f>IF(A313="","",IF(OR(Clean_Data!D313="",Clean_Data!K313="NO"),"FAIL","PASS"))</f>
        <v/>
      </c>
      <c r="I313" s="16" t="str">
        <f t="shared" si="12"/>
        <v/>
      </c>
      <c r="J313" s="17" t="str">
        <f t="shared" si="13"/>
        <v/>
      </c>
      <c r="K313" s="16" t="str">
        <f t="shared" si="14"/>
        <v/>
      </c>
    </row>
    <row r="314" spans="1:11" x14ac:dyDescent="0.35">
      <c r="A314" s="8" t="str">
        <f>Clean_Data!A314</f>
        <v/>
      </c>
      <c r="B314" s="16" t="str">
        <f>IF(A314="","",IF(Clean_Data!C314="","FAIL","PASS"))</f>
        <v/>
      </c>
      <c r="C314" s="16" t="str">
        <f>IF(A314="","",IF(AND(Clean_Data!C314&lt;&gt;"",Clean_Data!J314="NO"),"FAIL","PASS"))</f>
        <v/>
      </c>
      <c r="D314" s="16" t="str">
        <f>IF(A314="","",IF(Clean_Data!E314="","FAIL","PASS"))</f>
        <v/>
      </c>
      <c r="E314" s="16" t="str">
        <f>IF(A314="","",IF(Clean_Data!G314="","FAIL","PASS"))</f>
        <v/>
      </c>
      <c r="F314" s="16" t="str">
        <f>IF(A314="","",IF(Clean_Data!G314="","OK",IF(Clean_Data!G314&gt;16,"FLAG","OK")))</f>
        <v/>
      </c>
      <c r="G314" s="16" t="str">
        <f>IF(A314="","",IF(Clean_Data!H314="","FAIL","PASS"))</f>
        <v/>
      </c>
      <c r="H314" s="16" t="str">
        <f>IF(A314="","",IF(OR(Clean_Data!D314="",Clean_Data!K314="NO"),"FAIL","PASS"))</f>
        <v/>
      </c>
      <c r="I314" s="16" t="str">
        <f t="shared" si="12"/>
        <v/>
      </c>
      <c r="J314" s="17" t="str">
        <f t="shared" si="13"/>
        <v/>
      </c>
      <c r="K314" s="16" t="str">
        <f t="shared" si="14"/>
        <v/>
      </c>
    </row>
    <row r="315" spans="1:11" x14ac:dyDescent="0.35">
      <c r="A315" s="8" t="str">
        <f>Clean_Data!A315</f>
        <v/>
      </c>
      <c r="B315" s="16" t="str">
        <f>IF(A315="","",IF(Clean_Data!C315="","FAIL","PASS"))</f>
        <v/>
      </c>
      <c r="C315" s="16" t="str">
        <f>IF(A315="","",IF(AND(Clean_Data!C315&lt;&gt;"",Clean_Data!J315="NO"),"FAIL","PASS"))</f>
        <v/>
      </c>
      <c r="D315" s="16" t="str">
        <f>IF(A315="","",IF(Clean_Data!E315="","FAIL","PASS"))</f>
        <v/>
      </c>
      <c r="E315" s="16" t="str">
        <f>IF(A315="","",IF(Clean_Data!G315="","FAIL","PASS"))</f>
        <v/>
      </c>
      <c r="F315" s="16" t="str">
        <f>IF(A315="","",IF(Clean_Data!G315="","OK",IF(Clean_Data!G315&gt;16,"FLAG","OK")))</f>
        <v/>
      </c>
      <c r="G315" s="16" t="str">
        <f>IF(A315="","",IF(Clean_Data!H315="","FAIL","PASS"))</f>
        <v/>
      </c>
      <c r="H315" s="16" t="str">
        <f>IF(A315="","",IF(OR(Clean_Data!D315="",Clean_Data!K315="NO"),"FAIL","PASS"))</f>
        <v/>
      </c>
      <c r="I315" s="16" t="str">
        <f t="shared" si="12"/>
        <v/>
      </c>
      <c r="J315" s="17" t="str">
        <f t="shared" si="13"/>
        <v/>
      </c>
      <c r="K315" s="16" t="str">
        <f t="shared" si="14"/>
        <v/>
      </c>
    </row>
    <row r="316" spans="1:11" x14ac:dyDescent="0.35">
      <c r="A316" s="8" t="str">
        <f>Clean_Data!A316</f>
        <v/>
      </c>
      <c r="B316" s="16" t="str">
        <f>IF(A316="","",IF(Clean_Data!C316="","FAIL","PASS"))</f>
        <v/>
      </c>
      <c r="C316" s="16" t="str">
        <f>IF(A316="","",IF(AND(Clean_Data!C316&lt;&gt;"",Clean_Data!J316="NO"),"FAIL","PASS"))</f>
        <v/>
      </c>
      <c r="D316" s="16" t="str">
        <f>IF(A316="","",IF(Clean_Data!E316="","FAIL","PASS"))</f>
        <v/>
      </c>
      <c r="E316" s="16" t="str">
        <f>IF(A316="","",IF(Clean_Data!G316="","FAIL","PASS"))</f>
        <v/>
      </c>
      <c r="F316" s="16" t="str">
        <f>IF(A316="","",IF(Clean_Data!G316="","OK",IF(Clean_Data!G316&gt;16,"FLAG","OK")))</f>
        <v/>
      </c>
      <c r="G316" s="16" t="str">
        <f>IF(A316="","",IF(Clean_Data!H316="","FAIL","PASS"))</f>
        <v/>
      </c>
      <c r="H316" s="16" t="str">
        <f>IF(A316="","",IF(OR(Clean_Data!D316="",Clean_Data!K316="NO"),"FAIL","PASS"))</f>
        <v/>
      </c>
      <c r="I316" s="16" t="str">
        <f t="shared" si="12"/>
        <v/>
      </c>
      <c r="J316" s="17" t="str">
        <f t="shared" si="13"/>
        <v/>
      </c>
      <c r="K316" s="16" t="str">
        <f t="shared" si="14"/>
        <v/>
      </c>
    </row>
    <row r="317" spans="1:11" x14ac:dyDescent="0.35">
      <c r="A317" s="8" t="str">
        <f>Clean_Data!A317</f>
        <v/>
      </c>
      <c r="B317" s="16" t="str">
        <f>IF(A317="","",IF(Clean_Data!C317="","FAIL","PASS"))</f>
        <v/>
      </c>
      <c r="C317" s="16" t="str">
        <f>IF(A317="","",IF(AND(Clean_Data!C317&lt;&gt;"",Clean_Data!J317="NO"),"FAIL","PASS"))</f>
        <v/>
      </c>
      <c r="D317" s="16" t="str">
        <f>IF(A317="","",IF(Clean_Data!E317="","FAIL","PASS"))</f>
        <v/>
      </c>
      <c r="E317" s="16" t="str">
        <f>IF(A317="","",IF(Clean_Data!G317="","FAIL","PASS"))</f>
        <v/>
      </c>
      <c r="F317" s="16" t="str">
        <f>IF(A317="","",IF(Clean_Data!G317="","OK",IF(Clean_Data!G317&gt;16,"FLAG","OK")))</f>
        <v/>
      </c>
      <c r="G317" s="16" t="str">
        <f>IF(A317="","",IF(Clean_Data!H317="","FAIL","PASS"))</f>
        <v/>
      </c>
      <c r="H317" s="16" t="str">
        <f>IF(A317="","",IF(OR(Clean_Data!D317="",Clean_Data!K317="NO"),"FAIL","PASS"))</f>
        <v/>
      </c>
      <c r="I317" s="16" t="str">
        <f t="shared" si="12"/>
        <v/>
      </c>
      <c r="J317" s="17" t="str">
        <f t="shared" si="13"/>
        <v/>
      </c>
      <c r="K317" s="16" t="str">
        <f t="shared" si="14"/>
        <v/>
      </c>
    </row>
    <row r="318" spans="1:11" x14ac:dyDescent="0.35">
      <c r="A318" s="8" t="str">
        <f>Clean_Data!A318</f>
        <v/>
      </c>
      <c r="B318" s="16" t="str">
        <f>IF(A318="","",IF(Clean_Data!C318="","FAIL","PASS"))</f>
        <v/>
      </c>
      <c r="C318" s="16" t="str">
        <f>IF(A318="","",IF(AND(Clean_Data!C318&lt;&gt;"",Clean_Data!J318="NO"),"FAIL","PASS"))</f>
        <v/>
      </c>
      <c r="D318" s="16" t="str">
        <f>IF(A318="","",IF(Clean_Data!E318="","FAIL","PASS"))</f>
        <v/>
      </c>
      <c r="E318" s="16" t="str">
        <f>IF(A318="","",IF(Clean_Data!G318="","FAIL","PASS"))</f>
        <v/>
      </c>
      <c r="F318" s="16" t="str">
        <f>IF(A318="","",IF(Clean_Data!G318="","OK",IF(Clean_Data!G318&gt;16,"FLAG","OK")))</f>
        <v/>
      </c>
      <c r="G318" s="16" t="str">
        <f>IF(A318="","",IF(Clean_Data!H318="","FAIL","PASS"))</f>
        <v/>
      </c>
      <c r="H318" s="16" t="str">
        <f>IF(A318="","",IF(OR(Clean_Data!D318="",Clean_Data!K318="NO"),"FAIL","PASS"))</f>
        <v/>
      </c>
      <c r="I318" s="16" t="str">
        <f t="shared" si="12"/>
        <v/>
      </c>
      <c r="J318" s="17" t="str">
        <f t="shared" si="13"/>
        <v/>
      </c>
      <c r="K318" s="16" t="str">
        <f t="shared" si="14"/>
        <v/>
      </c>
    </row>
    <row r="319" spans="1:11" x14ac:dyDescent="0.35">
      <c r="A319" s="8" t="str">
        <f>Clean_Data!A319</f>
        <v/>
      </c>
      <c r="B319" s="16" t="str">
        <f>IF(A319="","",IF(Clean_Data!C319="","FAIL","PASS"))</f>
        <v/>
      </c>
      <c r="C319" s="16" t="str">
        <f>IF(A319="","",IF(AND(Clean_Data!C319&lt;&gt;"",Clean_Data!J319="NO"),"FAIL","PASS"))</f>
        <v/>
      </c>
      <c r="D319" s="16" t="str">
        <f>IF(A319="","",IF(Clean_Data!E319="","FAIL","PASS"))</f>
        <v/>
      </c>
      <c r="E319" s="16" t="str">
        <f>IF(A319="","",IF(Clean_Data!G319="","FAIL","PASS"))</f>
        <v/>
      </c>
      <c r="F319" s="16" t="str">
        <f>IF(A319="","",IF(Clean_Data!G319="","OK",IF(Clean_Data!G319&gt;16,"FLAG","OK")))</f>
        <v/>
      </c>
      <c r="G319" s="16" t="str">
        <f>IF(A319="","",IF(Clean_Data!H319="","FAIL","PASS"))</f>
        <v/>
      </c>
      <c r="H319" s="16" t="str">
        <f>IF(A319="","",IF(OR(Clean_Data!D319="",Clean_Data!K319="NO"),"FAIL","PASS"))</f>
        <v/>
      </c>
      <c r="I319" s="16" t="str">
        <f t="shared" si="12"/>
        <v/>
      </c>
      <c r="J319" s="17" t="str">
        <f t="shared" si="13"/>
        <v/>
      </c>
      <c r="K319" s="16" t="str">
        <f t="shared" si="14"/>
        <v/>
      </c>
    </row>
    <row r="320" spans="1:11" x14ac:dyDescent="0.35">
      <c r="A320" s="8" t="str">
        <f>Clean_Data!A320</f>
        <v/>
      </c>
      <c r="B320" s="16" t="str">
        <f>IF(A320="","",IF(Clean_Data!C320="","FAIL","PASS"))</f>
        <v/>
      </c>
      <c r="C320" s="16" t="str">
        <f>IF(A320="","",IF(AND(Clean_Data!C320&lt;&gt;"",Clean_Data!J320="NO"),"FAIL","PASS"))</f>
        <v/>
      </c>
      <c r="D320" s="16" t="str">
        <f>IF(A320="","",IF(Clean_Data!E320="","FAIL","PASS"))</f>
        <v/>
      </c>
      <c r="E320" s="16" t="str">
        <f>IF(A320="","",IF(Clean_Data!G320="","FAIL","PASS"))</f>
        <v/>
      </c>
      <c r="F320" s="16" t="str">
        <f>IF(A320="","",IF(Clean_Data!G320="","OK",IF(Clean_Data!G320&gt;16,"FLAG","OK")))</f>
        <v/>
      </c>
      <c r="G320" s="16" t="str">
        <f>IF(A320="","",IF(Clean_Data!H320="","FAIL","PASS"))</f>
        <v/>
      </c>
      <c r="H320" s="16" t="str">
        <f>IF(A320="","",IF(OR(Clean_Data!D320="",Clean_Data!K320="NO"),"FAIL","PASS"))</f>
        <v/>
      </c>
      <c r="I320" s="16" t="str">
        <f t="shared" si="12"/>
        <v/>
      </c>
      <c r="J320" s="17" t="str">
        <f t="shared" si="13"/>
        <v/>
      </c>
      <c r="K320" s="16" t="str">
        <f t="shared" si="14"/>
        <v/>
      </c>
    </row>
    <row r="321" spans="1:11" x14ac:dyDescent="0.35">
      <c r="A321" s="8" t="str">
        <f>Clean_Data!A321</f>
        <v/>
      </c>
      <c r="B321" s="16" t="str">
        <f>IF(A321="","",IF(Clean_Data!C321="","FAIL","PASS"))</f>
        <v/>
      </c>
      <c r="C321" s="16" t="str">
        <f>IF(A321="","",IF(AND(Clean_Data!C321&lt;&gt;"",Clean_Data!J321="NO"),"FAIL","PASS"))</f>
        <v/>
      </c>
      <c r="D321" s="16" t="str">
        <f>IF(A321="","",IF(Clean_Data!E321="","FAIL","PASS"))</f>
        <v/>
      </c>
      <c r="E321" s="16" t="str">
        <f>IF(A321="","",IF(Clean_Data!G321="","FAIL","PASS"))</f>
        <v/>
      </c>
      <c r="F321" s="16" t="str">
        <f>IF(A321="","",IF(Clean_Data!G321="","OK",IF(Clean_Data!G321&gt;16,"FLAG","OK")))</f>
        <v/>
      </c>
      <c r="G321" s="16" t="str">
        <f>IF(A321="","",IF(Clean_Data!H321="","FAIL","PASS"))</f>
        <v/>
      </c>
      <c r="H321" s="16" t="str">
        <f>IF(A321="","",IF(OR(Clean_Data!D321="",Clean_Data!K321="NO"),"FAIL","PASS"))</f>
        <v/>
      </c>
      <c r="I321" s="16" t="str">
        <f t="shared" si="12"/>
        <v/>
      </c>
      <c r="J321" s="17" t="str">
        <f t="shared" si="13"/>
        <v/>
      </c>
      <c r="K321" s="16" t="str">
        <f t="shared" si="14"/>
        <v/>
      </c>
    </row>
    <row r="322" spans="1:11" x14ac:dyDescent="0.35">
      <c r="A322" s="8" t="str">
        <f>Clean_Data!A322</f>
        <v/>
      </c>
      <c r="B322" s="16" t="str">
        <f>IF(A322="","",IF(Clean_Data!C322="","FAIL","PASS"))</f>
        <v/>
      </c>
      <c r="C322" s="16" t="str">
        <f>IF(A322="","",IF(AND(Clean_Data!C322&lt;&gt;"",Clean_Data!J322="NO"),"FAIL","PASS"))</f>
        <v/>
      </c>
      <c r="D322" s="16" t="str">
        <f>IF(A322="","",IF(Clean_Data!E322="","FAIL","PASS"))</f>
        <v/>
      </c>
      <c r="E322" s="16" t="str">
        <f>IF(A322="","",IF(Clean_Data!G322="","FAIL","PASS"))</f>
        <v/>
      </c>
      <c r="F322" s="16" t="str">
        <f>IF(A322="","",IF(Clean_Data!G322="","OK",IF(Clean_Data!G322&gt;16,"FLAG","OK")))</f>
        <v/>
      </c>
      <c r="G322" s="16" t="str">
        <f>IF(A322="","",IF(Clean_Data!H322="","FAIL","PASS"))</f>
        <v/>
      </c>
      <c r="H322" s="16" t="str">
        <f>IF(A322="","",IF(OR(Clean_Data!D322="",Clean_Data!K322="NO"),"FAIL","PASS"))</f>
        <v/>
      </c>
      <c r="I322" s="16" t="str">
        <f t="shared" si="12"/>
        <v/>
      </c>
      <c r="J322" s="17" t="str">
        <f t="shared" si="13"/>
        <v/>
      </c>
      <c r="K322" s="16" t="str">
        <f t="shared" si="14"/>
        <v/>
      </c>
    </row>
    <row r="323" spans="1:11" x14ac:dyDescent="0.35">
      <c r="A323" s="8" t="str">
        <f>Clean_Data!A323</f>
        <v/>
      </c>
      <c r="B323" s="16" t="str">
        <f>IF(A323="","",IF(Clean_Data!C323="","FAIL","PASS"))</f>
        <v/>
      </c>
      <c r="C323" s="16" t="str">
        <f>IF(A323="","",IF(AND(Clean_Data!C323&lt;&gt;"",Clean_Data!J323="NO"),"FAIL","PASS"))</f>
        <v/>
      </c>
      <c r="D323" s="16" t="str">
        <f>IF(A323="","",IF(Clean_Data!E323="","FAIL","PASS"))</f>
        <v/>
      </c>
      <c r="E323" s="16" t="str">
        <f>IF(A323="","",IF(Clean_Data!G323="","FAIL","PASS"))</f>
        <v/>
      </c>
      <c r="F323" s="16" t="str">
        <f>IF(A323="","",IF(Clean_Data!G323="","OK",IF(Clean_Data!G323&gt;16,"FLAG","OK")))</f>
        <v/>
      </c>
      <c r="G323" s="16" t="str">
        <f>IF(A323="","",IF(Clean_Data!H323="","FAIL","PASS"))</f>
        <v/>
      </c>
      <c r="H323" s="16" t="str">
        <f>IF(A323="","",IF(OR(Clean_Data!D323="",Clean_Data!K323="NO"),"FAIL","PASS"))</f>
        <v/>
      </c>
      <c r="I323" s="16" t="str">
        <f t="shared" si="12"/>
        <v/>
      </c>
      <c r="J323" s="17" t="str">
        <f t="shared" si="13"/>
        <v/>
      </c>
      <c r="K323" s="16" t="str">
        <f t="shared" si="14"/>
        <v/>
      </c>
    </row>
    <row r="324" spans="1:11" x14ac:dyDescent="0.35">
      <c r="A324" s="8" t="str">
        <f>Clean_Data!A324</f>
        <v/>
      </c>
      <c r="B324" s="16" t="str">
        <f>IF(A324="","",IF(Clean_Data!C324="","FAIL","PASS"))</f>
        <v/>
      </c>
      <c r="C324" s="16" t="str">
        <f>IF(A324="","",IF(AND(Clean_Data!C324&lt;&gt;"",Clean_Data!J324="NO"),"FAIL","PASS"))</f>
        <v/>
      </c>
      <c r="D324" s="16" t="str">
        <f>IF(A324="","",IF(Clean_Data!E324="","FAIL","PASS"))</f>
        <v/>
      </c>
      <c r="E324" s="16" t="str">
        <f>IF(A324="","",IF(Clean_Data!G324="","FAIL","PASS"))</f>
        <v/>
      </c>
      <c r="F324" s="16" t="str">
        <f>IF(A324="","",IF(Clean_Data!G324="","OK",IF(Clean_Data!G324&gt;16,"FLAG","OK")))</f>
        <v/>
      </c>
      <c r="G324" s="16" t="str">
        <f>IF(A324="","",IF(Clean_Data!H324="","FAIL","PASS"))</f>
        <v/>
      </c>
      <c r="H324" s="16" t="str">
        <f>IF(A324="","",IF(OR(Clean_Data!D324="",Clean_Data!K324="NO"),"FAIL","PASS"))</f>
        <v/>
      </c>
      <c r="I324" s="16" t="str">
        <f t="shared" ref="I324:I387" si="15">IF(A324="","",IF(COUNTIF(B324:H324,"FAIL")&gt;0,"ERROR",IF(COUNTIF(B324:H324,"FLAG")&gt;0,"REVIEW","OK")))</f>
        <v/>
      </c>
      <c r="J324" s="17" t="str">
        <f t="shared" ref="J324:J387" si="16">IF(A324="","",IF(B324="FAIL",300,0)+IF(C324="FAIL",350,0)+IF(D324="FAIL",250,0)+IF(E324="FAIL",400,0)+IF(F324="FLAG",150,0)+IF(G324="FAIL",200,0)+IF(H324="FAIL",200,0))</f>
        <v/>
      </c>
      <c r="K324" s="16" t="str">
        <f t="shared" ref="K324:K387" si="17">IF(A324="","",IF(B324="FAIL","Missing name",IF(C324="FAIL","Unknown lineman",IF(D324="FAIL","Missing job",IF(E324="FAIL","Invalid hours",IF(F324="FLAG","Hours outlier",IF(G324="FAIL","Missing area",IF(H324="FAIL","Missing foreman","OK"))))))))</f>
        <v/>
      </c>
    </row>
    <row r="325" spans="1:11" x14ac:dyDescent="0.35">
      <c r="A325" s="8" t="str">
        <f>Clean_Data!A325</f>
        <v/>
      </c>
      <c r="B325" s="16" t="str">
        <f>IF(A325="","",IF(Clean_Data!C325="","FAIL","PASS"))</f>
        <v/>
      </c>
      <c r="C325" s="16" t="str">
        <f>IF(A325="","",IF(AND(Clean_Data!C325&lt;&gt;"",Clean_Data!J325="NO"),"FAIL","PASS"))</f>
        <v/>
      </c>
      <c r="D325" s="16" t="str">
        <f>IF(A325="","",IF(Clean_Data!E325="","FAIL","PASS"))</f>
        <v/>
      </c>
      <c r="E325" s="16" t="str">
        <f>IF(A325="","",IF(Clean_Data!G325="","FAIL","PASS"))</f>
        <v/>
      </c>
      <c r="F325" s="16" t="str">
        <f>IF(A325="","",IF(Clean_Data!G325="","OK",IF(Clean_Data!G325&gt;16,"FLAG","OK")))</f>
        <v/>
      </c>
      <c r="G325" s="16" t="str">
        <f>IF(A325="","",IF(Clean_Data!H325="","FAIL","PASS"))</f>
        <v/>
      </c>
      <c r="H325" s="16" t="str">
        <f>IF(A325="","",IF(OR(Clean_Data!D325="",Clean_Data!K325="NO"),"FAIL","PASS"))</f>
        <v/>
      </c>
      <c r="I325" s="16" t="str">
        <f t="shared" si="15"/>
        <v/>
      </c>
      <c r="J325" s="17" t="str">
        <f t="shared" si="16"/>
        <v/>
      </c>
      <c r="K325" s="16" t="str">
        <f t="shared" si="17"/>
        <v/>
      </c>
    </row>
    <row r="326" spans="1:11" x14ac:dyDescent="0.35">
      <c r="A326" s="8" t="str">
        <f>Clean_Data!A326</f>
        <v/>
      </c>
      <c r="B326" s="16" t="str">
        <f>IF(A326="","",IF(Clean_Data!C326="","FAIL","PASS"))</f>
        <v/>
      </c>
      <c r="C326" s="16" t="str">
        <f>IF(A326="","",IF(AND(Clean_Data!C326&lt;&gt;"",Clean_Data!J326="NO"),"FAIL","PASS"))</f>
        <v/>
      </c>
      <c r="D326" s="16" t="str">
        <f>IF(A326="","",IF(Clean_Data!E326="","FAIL","PASS"))</f>
        <v/>
      </c>
      <c r="E326" s="16" t="str">
        <f>IF(A326="","",IF(Clean_Data!G326="","FAIL","PASS"))</f>
        <v/>
      </c>
      <c r="F326" s="16" t="str">
        <f>IF(A326="","",IF(Clean_Data!G326="","OK",IF(Clean_Data!G326&gt;16,"FLAG","OK")))</f>
        <v/>
      </c>
      <c r="G326" s="16" t="str">
        <f>IF(A326="","",IF(Clean_Data!H326="","FAIL","PASS"))</f>
        <v/>
      </c>
      <c r="H326" s="16" t="str">
        <f>IF(A326="","",IF(OR(Clean_Data!D326="",Clean_Data!K326="NO"),"FAIL","PASS"))</f>
        <v/>
      </c>
      <c r="I326" s="16" t="str">
        <f t="shared" si="15"/>
        <v/>
      </c>
      <c r="J326" s="17" t="str">
        <f t="shared" si="16"/>
        <v/>
      </c>
      <c r="K326" s="16" t="str">
        <f t="shared" si="17"/>
        <v/>
      </c>
    </row>
    <row r="327" spans="1:11" x14ac:dyDescent="0.35">
      <c r="A327" s="8" t="str">
        <f>Clean_Data!A327</f>
        <v/>
      </c>
      <c r="B327" s="16" t="str">
        <f>IF(A327="","",IF(Clean_Data!C327="","FAIL","PASS"))</f>
        <v/>
      </c>
      <c r="C327" s="16" t="str">
        <f>IF(A327="","",IF(AND(Clean_Data!C327&lt;&gt;"",Clean_Data!J327="NO"),"FAIL","PASS"))</f>
        <v/>
      </c>
      <c r="D327" s="16" t="str">
        <f>IF(A327="","",IF(Clean_Data!E327="","FAIL","PASS"))</f>
        <v/>
      </c>
      <c r="E327" s="16" t="str">
        <f>IF(A327="","",IF(Clean_Data!G327="","FAIL","PASS"))</f>
        <v/>
      </c>
      <c r="F327" s="16" t="str">
        <f>IF(A327="","",IF(Clean_Data!G327="","OK",IF(Clean_Data!G327&gt;16,"FLAG","OK")))</f>
        <v/>
      </c>
      <c r="G327" s="16" t="str">
        <f>IF(A327="","",IF(Clean_Data!H327="","FAIL","PASS"))</f>
        <v/>
      </c>
      <c r="H327" s="16" t="str">
        <f>IF(A327="","",IF(OR(Clean_Data!D327="",Clean_Data!K327="NO"),"FAIL","PASS"))</f>
        <v/>
      </c>
      <c r="I327" s="16" t="str">
        <f t="shared" si="15"/>
        <v/>
      </c>
      <c r="J327" s="17" t="str">
        <f t="shared" si="16"/>
        <v/>
      </c>
      <c r="K327" s="16" t="str">
        <f t="shared" si="17"/>
        <v/>
      </c>
    </row>
    <row r="328" spans="1:11" x14ac:dyDescent="0.35">
      <c r="A328" s="8" t="str">
        <f>Clean_Data!A328</f>
        <v/>
      </c>
      <c r="B328" s="16" t="str">
        <f>IF(A328="","",IF(Clean_Data!C328="","FAIL","PASS"))</f>
        <v/>
      </c>
      <c r="C328" s="16" t="str">
        <f>IF(A328="","",IF(AND(Clean_Data!C328&lt;&gt;"",Clean_Data!J328="NO"),"FAIL","PASS"))</f>
        <v/>
      </c>
      <c r="D328" s="16" t="str">
        <f>IF(A328="","",IF(Clean_Data!E328="","FAIL","PASS"))</f>
        <v/>
      </c>
      <c r="E328" s="16" t="str">
        <f>IF(A328="","",IF(Clean_Data!G328="","FAIL","PASS"))</f>
        <v/>
      </c>
      <c r="F328" s="16" t="str">
        <f>IF(A328="","",IF(Clean_Data!G328="","OK",IF(Clean_Data!G328&gt;16,"FLAG","OK")))</f>
        <v/>
      </c>
      <c r="G328" s="16" t="str">
        <f>IF(A328="","",IF(Clean_Data!H328="","FAIL","PASS"))</f>
        <v/>
      </c>
      <c r="H328" s="16" t="str">
        <f>IF(A328="","",IF(OR(Clean_Data!D328="",Clean_Data!K328="NO"),"FAIL","PASS"))</f>
        <v/>
      </c>
      <c r="I328" s="16" t="str">
        <f t="shared" si="15"/>
        <v/>
      </c>
      <c r="J328" s="17" t="str">
        <f t="shared" si="16"/>
        <v/>
      </c>
      <c r="K328" s="16" t="str">
        <f t="shared" si="17"/>
        <v/>
      </c>
    </row>
    <row r="329" spans="1:11" x14ac:dyDescent="0.35">
      <c r="A329" s="8" t="str">
        <f>Clean_Data!A329</f>
        <v/>
      </c>
      <c r="B329" s="16" t="str">
        <f>IF(A329="","",IF(Clean_Data!C329="","FAIL","PASS"))</f>
        <v/>
      </c>
      <c r="C329" s="16" t="str">
        <f>IF(A329="","",IF(AND(Clean_Data!C329&lt;&gt;"",Clean_Data!J329="NO"),"FAIL","PASS"))</f>
        <v/>
      </c>
      <c r="D329" s="16" t="str">
        <f>IF(A329="","",IF(Clean_Data!E329="","FAIL","PASS"))</f>
        <v/>
      </c>
      <c r="E329" s="16" t="str">
        <f>IF(A329="","",IF(Clean_Data!G329="","FAIL","PASS"))</f>
        <v/>
      </c>
      <c r="F329" s="16" t="str">
        <f>IF(A329="","",IF(Clean_Data!G329="","OK",IF(Clean_Data!G329&gt;16,"FLAG","OK")))</f>
        <v/>
      </c>
      <c r="G329" s="16" t="str">
        <f>IF(A329="","",IF(Clean_Data!H329="","FAIL","PASS"))</f>
        <v/>
      </c>
      <c r="H329" s="16" t="str">
        <f>IF(A329="","",IF(OR(Clean_Data!D329="",Clean_Data!K329="NO"),"FAIL","PASS"))</f>
        <v/>
      </c>
      <c r="I329" s="16" t="str">
        <f t="shared" si="15"/>
        <v/>
      </c>
      <c r="J329" s="17" t="str">
        <f t="shared" si="16"/>
        <v/>
      </c>
      <c r="K329" s="16" t="str">
        <f t="shared" si="17"/>
        <v/>
      </c>
    </row>
    <row r="330" spans="1:11" x14ac:dyDescent="0.35">
      <c r="A330" s="8" t="str">
        <f>Clean_Data!A330</f>
        <v/>
      </c>
      <c r="B330" s="16" t="str">
        <f>IF(A330="","",IF(Clean_Data!C330="","FAIL","PASS"))</f>
        <v/>
      </c>
      <c r="C330" s="16" t="str">
        <f>IF(A330="","",IF(AND(Clean_Data!C330&lt;&gt;"",Clean_Data!J330="NO"),"FAIL","PASS"))</f>
        <v/>
      </c>
      <c r="D330" s="16" t="str">
        <f>IF(A330="","",IF(Clean_Data!E330="","FAIL","PASS"))</f>
        <v/>
      </c>
      <c r="E330" s="16" t="str">
        <f>IF(A330="","",IF(Clean_Data!G330="","FAIL","PASS"))</f>
        <v/>
      </c>
      <c r="F330" s="16" t="str">
        <f>IF(A330="","",IF(Clean_Data!G330="","OK",IF(Clean_Data!G330&gt;16,"FLAG","OK")))</f>
        <v/>
      </c>
      <c r="G330" s="16" t="str">
        <f>IF(A330="","",IF(Clean_Data!H330="","FAIL","PASS"))</f>
        <v/>
      </c>
      <c r="H330" s="16" t="str">
        <f>IF(A330="","",IF(OR(Clean_Data!D330="",Clean_Data!K330="NO"),"FAIL","PASS"))</f>
        <v/>
      </c>
      <c r="I330" s="16" t="str">
        <f t="shared" si="15"/>
        <v/>
      </c>
      <c r="J330" s="17" t="str">
        <f t="shared" si="16"/>
        <v/>
      </c>
      <c r="K330" s="16" t="str">
        <f t="shared" si="17"/>
        <v/>
      </c>
    </row>
    <row r="331" spans="1:11" x14ac:dyDescent="0.35">
      <c r="A331" s="8" t="str">
        <f>Clean_Data!A331</f>
        <v/>
      </c>
      <c r="B331" s="16" t="str">
        <f>IF(A331="","",IF(Clean_Data!C331="","FAIL","PASS"))</f>
        <v/>
      </c>
      <c r="C331" s="16" t="str">
        <f>IF(A331="","",IF(AND(Clean_Data!C331&lt;&gt;"",Clean_Data!J331="NO"),"FAIL","PASS"))</f>
        <v/>
      </c>
      <c r="D331" s="16" t="str">
        <f>IF(A331="","",IF(Clean_Data!E331="","FAIL","PASS"))</f>
        <v/>
      </c>
      <c r="E331" s="16" t="str">
        <f>IF(A331="","",IF(Clean_Data!G331="","FAIL","PASS"))</f>
        <v/>
      </c>
      <c r="F331" s="16" t="str">
        <f>IF(A331="","",IF(Clean_Data!G331="","OK",IF(Clean_Data!G331&gt;16,"FLAG","OK")))</f>
        <v/>
      </c>
      <c r="G331" s="16" t="str">
        <f>IF(A331="","",IF(Clean_Data!H331="","FAIL","PASS"))</f>
        <v/>
      </c>
      <c r="H331" s="16" t="str">
        <f>IF(A331="","",IF(OR(Clean_Data!D331="",Clean_Data!K331="NO"),"FAIL","PASS"))</f>
        <v/>
      </c>
      <c r="I331" s="16" t="str">
        <f t="shared" si="15"/>
        <v/>
      </c>
      <c r="J331" s="17" t="str">
        <f t="shared" si="16"/>
        <v/>
      </c>
      <c r="K331" s="16" t="str">
        <f t="shared" si="17"/>
        <v/>
      </c>
    </row>
    <row r="332" spans="1:11" x14ac:dyDescent="0.35">
      <c r="A332" s="8" t="str">
        <f>Clean_Data!A332</f>
        <v/>
      </c>
      <c r="B332" s="16" t="str">
        <f>IF(A332="","",IF(Clean_Data!C332="","FAIL","PASS"))</f>
        <v/>
      </c>
      <c r="C332" s="16" t="str">
        <f>IF(A332="","",IF(AND(Clean_Data!C332&lt;&gt;"",Clean_Data!J332="NO"),"FAIL","PASS"))</f>
        <v/>
      </c>
      <c r="D332" s="16" t="str">
        <f>IF(A332="","",IF(Clean_Data!E332="","FAIL","PASS"))</f>
        <v/>
      </c>
      <c r="E332" s="16" t="str">
        <f>IF(A332="","",IF(Clean_Data!G332="","FAIL","PASS"))</f>
        <v/>
      </c>
      <c r="F332" s="16" t="str">
        <f>IF(A332="","",IF(Clean_Data!G332="","OK",IF(Clean_Data!G332&gt;16,"FLAG","OK")))</f>
        <v/>
      </c>
      <c r="G332" s="16" t="str">
        <f>IF(A332="","",IF(Clean_Data!H332="","FAIL","PASS"))</f>
        <v/>
      </c>
      <c r="H332" s="16" t="str">
        <f>IF(A332="","",IF(OR(Clean_Data!D332="",Clean_Data!K332="NO"),"FAIL","PASS"))</f>
        <v/>
      </c>
      <c r="I332" s="16" t="str">
        <f t="shared" si="15"/>
        <v/>
      </c>
      <c r="J332" s="17" t="str">
        <f t="shared" si="16"/>
        <v/>
      </c>
      <c r="K332" s="16" t="str">
        <f t="shared" si="17"/>
        <v/>
      </c>
    </row>
    <row r="333" spans="1:11" x14ac:dyDescent="0.35">
      <c r="A333" s="8" t="str">
        <f>Clean_Data!A333</f>
        <v/>
      </c>
      <c r="B333" s="16" t="str">
        <f>IF(A333="","",IF(Clean_Data!C333="","FAIL","PASS"))</f>
        <v/>
      </c>
      <c r="C333" s="16" t="str">
        <f>IF(A333="","",IF(AND(Clean_Data!C333&lt;&gt;"",Clean_Data!J333="NO"),"FAIL","PASS"))</f>
        <v/>
      </c>
      <c r="D333" s="16" t="str">
        <f>IF(A333="","",IF(Clean_Data!E333="","FAIL","PASS"))</f>
        <v/>
      </c>
      <c r="E333" s="16" t="str">
        <f>IF(A333="","",IF(Clean_Data!G333="","FAIL","PASS"))</f>
        <v/>
      </c>
      <c r="F333" s="16" t="str">
        <f>IF(A333="","",IF(Clean_Data!G333="","OK",IF(Clean_Data!G333&gt;16,"FLAG","OK")))</f>
        <v/>
      </c>
      <c r="G333" s="16" t="str">
        <f>IF(A333="","",IF(Clean_Data!H333="","FAIL","PASS"))</f>
        <v/>
      </c>
      <c r="H333" s="16" t="str">
        <f>IF(A333="","",IF(OR(Clean_Data!D333="",Clean_Data!K333="NO"),"FAIL","PASS"))</f>
        <v/>
      </c>
      <c r="I333" s="16" t="str">
        <f t="shared" si="15"/>
        <v/>
      </c>
      <c r="J333" s="17" t="str">
        <f t="shared" si="16"/>
        <v/>
      </c>
      <c r="K333" s="16" t="str">
        <f t="shared" si="17"/>
        <v/>
      </c>
    </row>
    <row r="334" spans="1:11" x14ac:dyDescent="0.35">
      <c r="A334" s="8" t="str">
        <f>Clean_Data!A334</f>
        <v/>
      </c>
      <c r="B334" s="16" t="str">
        <f>IF(A334="","",IF(Clean_Data!C334="","FAIL","PASS"))</f>
        <v/>
      </c>
      <c r="C334" s="16" t="str">
        <f>IF(A334="","",IF(AND(Clean_Data!C334&lt;&gt;"",Clean_Data!J334="NO"),"FAIL","PASS"))</f>
        <v/>
      </c>
      <c r="D334" s="16" t="str">
        <f>IF(A334="","",IF(Clean_Data!E334="","FAIL","PASS"))</f>
        <v/>
      </c>
      <c r="E334" s="16" t="str">
        <f>IF(A334="","",IF(Clean_Data!G334="","FAIL","PASS"))</f>
        <v/>
      </c>
      <c r="F334" s="16" t="str">
        <f>IF(A334="","",IF(Clean_Data!G334="","OK",IF(Clean_Data!G334&gt;16,"FLAG","OK")))</f>
        <v/>
      </c>
      <c r="G334" s="16" t="str">
        <f>IF(A334="","",IF(Clean_Data!H334="","FAIL","PASS"))</f>
        <v/>
      </c>
      <c r="H334" s="16" t="str">
        <f>IF(A334="","",IF(OR(Clean_Data!D334="",Clean_Data!K334="NO"),"FAIL","PASS"))</f>
        <v/>
      </c>
      <c r="I334" s="16" t="str">
        <f t="shared" si="15"/>
        <v/>
      </c>
      <c r="J334" s="17" t="str">
        <f t="shared" si="16"/>
        <v/>
      </c>
      <c r="K334" s="16" t="str">
        <f t="shared" si="17"/>
        <v/>
      </c>
    </row>
    <row r="335" spans="1:11" x14ac:dyDescent="0.35">
      <c r="A335" s="8" t="str">
        <f>Clean_Data!A335</f>
        <v/>
      </c>
      <c r="B335" s="16" t="str">
        <f>IF(A335="","",IF(Clean_Data!C335="","FAIL","PASS"))</f>
        <v/>
      </c>
      <c r="C335" s="16" t="str">
        <f>IF(A335="","",IF(AND(Clean_Data!C335&lt;&gt;"",Clean_Data!J335="NO"),"FAIL","PASS"))</f>
        <v/>
      </c>
      <c r="D335" s="16" t="str">
        <f>IF(A335="","",IF(Clean_Data!E335="","FAIL","PASS"))</f>
        <v/>
      </c>
      <c r="E335" s="16" t="str">
        <f>IF(A335="","",IF(Clean_Data!G335="","FAIL","PASS"))</f>
        <v/>
      </c>
      <c r="F335" s="16" t="str">
        <f>IF(A335="","",IF(Clean_Data!G335="","OK",IF(Clean_Data!G335&gt;16,"FLAG","OK")))</f>
        <v/>
      </c>
      <c r="G335" s="16" t="str">
        <f>IF(A335="","",IF(Clean_Data!H335="","FAIL","PASS"))</f>
        <v/>
      </c>
      <c r="H335" s="16" t="str">
        <f>IF(A335="","",IF(OR(Clean_Data!D335="",Clean_Data!K335="NO"),"FAIL","PASS"))</f>
        <v/>
      </c>
      <c r="I335" s="16" t="str">
        <f t="shared" si="15"/>
        <v/>
      </c>
      <c r="J335" s="17" t="str">
        <f t="shared" si="16"/>
        <v/>
      </c>
      <c r="K335" s="16" t="str">
        <f t="shared" si="17"/>
        <v/>
      </c>
    </row>
    <row r="336" spans="1:11" x14ac:dyDescent="0.35">
      <c r="A336" s="8" t="str">
        <f>Clean_Data!A336</f>
        <v/>
      </c>
      <c r="B336" s="16" t="str">
        <f>IF(A336="","",IF(Clean_Data!C336="","FAIL","PASS"))</f>
        <v/>
      </c>
      <c r="C336" s="16" t="str">
        <f>IF(A336="","",IF(AND(Clean_Data!C336&lt;&gt;"",Clean_Data!J336="NO"),"FAIL","PASS"))</f>
        <v/>
      </c>
      <c r="D336" s="16" t="str">
        <f>IF(A336="","",IF(Clean_Data!E336="","FAIL","PASS"))</f>
        <v/>
      </c>
      <c r="E336" s="16" t="str">
        <f>IF(A336="","",IF(Clean_Data!G336="","FAIL","PASS"))</f>
        <v/>
      </c>
      <c r="F336" s="16" t="str">
        <f>IF(A336="","",IF(Clean_Data!G336="","OK",IF(Clean_Data!G336&gt;16,"FLAG","OK")))</f>
        <v/>
      </c>
      <c r="G336" s="16" t="str">
        <f>IF(A336="","",IF(Clean_Data!H336="","FAIL","PASS"))</f>
        <v/>
      </c>
      <c r="H336" s="16" t="str">
        <f>IF(A336="","",IF(OR(Clean_Data!D336="",Clean_Data!K336="NO"),"FAIL","PASS"))</f>
        <v/>
      </c>
      <c r="I336" s="16" t="str">
        <f t="shared" si="15"/>
        <v/>
      </c>
      <c r="J336" s="17" t="str">
        <f t="shared" si="16"/>
        <v/>
      </c>
      <c r="K336" s="16" t="str">
        <f t="shared" si="17"/>
        <v/>
      </c>
    </row>
    <row r="337" spans="1:11" x14ac:dyDescent="0.35">
      <c r="A337" s="8" t="str">
        <f>Clean_Data!A337</f>
        <v/>
      </c>
      <c r="B337" s="16" t="str">
        <f>IF(A337="","",IF(Clean_Data!C337="","FAIL","PASS"))</f>
        <v/>
      </c>
      <c r="C337" s="16" t="str">
        <f>IF(A337="","",IF(AND(Clean_Data!C337&lt;&gt;"",Clean_Data!J337="NO"),"FAIL","PASS"))</f>
        <v/>
      </c>
      <c r="D337" s="16" t="str">
        <f>IF(A337="","",IF(Clean_Data!E337="","FAIL","PASS"))</f>
        <v/>
      </c>
      <c r="E337" s="16" t="str">
        <f>IF(A337="","",IF(Clean_Data!G337="","FAIL","PASS"))</f>
        <v/>
      </c>
      <c r="F337" s="16" t="str">
        <f>IF(A337="","",IF(Clean_Data!G337="","OK",IF(Clean_Data!G337&gt;16,"FLAG","OK")))</f>
        <v/>
      </c>
      <c r="G337" s="16" t="str">
        <f>IF(A337="","",IF(Clean_Data!H337="","FAIL","PASS"))</f>
        <v/>
      </c>
      <c r="H337" s="16" t="str">
        <f>IF(A337="","",IF(OR(Clean_Data!D337="",Clean_Data!K337="NO"),"FAIL","PASS"))</f>
        <v/>
      </c>
      <c r="I337" s="16" t="str">
        <f t="shared" si="15"/>
        <v/>
      </c>
      <c r="J337" s="17" t="str">
        <f t="shared" si="16"/>
        <v/>
      </c>
      <c r="K337" s="16" t="str">
        <f t="shared" si="17"/>
        <v/>
      </c>
    </row>
    <row r="338" spans="1:11" x14ac:dyDescent="0.35">
      <c r="A338" s="8" t="str">
        <f>Clean_Data!A338</f>
        <v/>
      </c>
      <c r="B338" s="16" t="str">
        <f>IF(A338="","",IF(Clean_Data!C338="","FAIL","PASS"))</f>
        <v/>
      </c>
      <c r="C338" s="16" t="str">
        <f>IF(A338="","",IF(AND(Clean_Data!C338&lt;&gt;"",Clean_Data!J338="NO"),"FAIL","PASS"))</f>
        <v/>
      </c>
      <c r="D338" s="16" t="str">
        <f>IF(A338="","",IF(Clean_Data!E338="","FAIL","PASS"))</f>
        <v/>
      </c>
      <c r="E338" s="16" t="str">
        <f>IF(A338="","",IF(Clean_Data!G338="","FAIL","PASS"))</f>
        <v/>
      </c>
      <c r="F338" s="16" t="str">
        <f>IF(A338="","",IF(Clean_Data!G338="","OK",IF(Clean_Data!G338&gt;16,"FLAG","OK")))</f>
        <v/>
      </c>
      <c r="G338" s="16" t="str">
        <f>IF(A338="","",IF(Clean_Data!H338="","FAIL","PASS"))</f>
        <v/>
      </c>
      <c r="H338" s="16" t="str">
        <f>IF(A338="","",IF(OR(Clean_Data!D338="",Clean_Data!K338="NO"),"FAIL","PASS"))</f>
        <v/>
      </c>
      <c r="I338" s="16" t="str">
        <f t="shared" si="15"/>
        <v/>
      </c>
      <c r="J338" s="17" t="str">
        <f t="shared" si="16"/>
        <v/>
      </c>
      <c r="K338" s="16" t="str">
        <f t="shared" si="17"/>
        <v/>
      </c>
    </row>
    <row r="339" spans="1:11" x14ac:dyDescent="0.35">
      <c r="A339" s="8" t="str">
        <f>Clean_Data!A339</f>
        <v/>
      </c>
      <c r="B339" s="16" t="str">
        <f>IF(A339="","",IF(Clean_Data!C339="","FAIL","PASS"))</f>
        <v/>
      </c>
      <c r="C339" s="16" t="str">
        <f>IF(A339="","",IF(AND(Clean_Data!C339&lt;&gt;"",Clean_Data!J339="NO"),"FAIL","PASS"))</f>
        <v/>
      </c>
      <c r="D339" s="16" t="str">
        <f>IF(A339="","",IF(Clean_Data!E339="","FAIL","PASS"))</f>
        <v/>
      </c>
      <c r="E339" s="16" t="str">
        <f>IF(A339="","",IF(Clean_Data!G339="","FAIL","PASS"))</f>
        <v/>
      </c>
      <c r="F339" s="16" t="str">
        <f>IF(A339="","",IF(Clean_Data!G339="","OK",IF(Clean_Data!G339&gt;16,"FLAG","OK")))</f>
        <v/>
      </c>
      <c r="G339" s="16" t="str">
        <f>IF(A339="","",IF(Clean_Data!H339="","FAIL","PASS"))</f>
        <v/>
      </c>
      <c r="H339" s="16" t="str">
        <f>IF(A339="","",IF(OR(Clean_Data!D339="",Clean_Data!K339="NO"),"FAIL","PASS"))</f>
        <v/>
      </c>
      <c r="I339" s="16" t="str">
        <f t="shared" si="15"/>
        <v/>
      </c>
      <c r="J339" s="17" t="str">
        <f t="shared" si="16"/>
        <v/>
      </c>
      <c r="K339" s="16" t="str">
        <f t="shared" si="17"/>
        <v/>
      </c>
    </row>
    <row r="340" spans="1:11" x14ac:dyDescent="0.35">
      <c r="A340" s="8" t="str">
        <f>Clean_Data!A340</f>
        <v/>
      </c>
      <c r="B340" s="16" t="str">
        <f>IF(A340="","",IF(Clean_Data!C340="","FAIL","PASS"))</f>
        <v/>
      </c>
      <c r="C340" s="16" t="str">
        <f>IF(A340="","",IF(AND(Clean_Data!C340&lt;&gt;"",Clean_Data!J340="NO"),"FAIL","PASS"))</f>
        <v/>
      </c>
      <c r="D340" s="16" t="str">
        <f>IF(A340="","",IF(Clean_Data!E340="","FAIL","PASS"))</f>
        <v/>
      </c>
      <c r="E340" s="16" t="str">
        <f>IF(A340="","",IF(Clean_Data!G340="","FAIL","PASS"))</f>
        <v/>
      </c>
      <c r="F340" s="16" t="str">
        <f>IF(A340="","",IF(Clean_Data!G340="","OK",IF(Clean_Data!G340&gt;16,"FLAG","OK")))</f>
        <v/>
      </c>
      <c r="G340" s="16" t="str">
        <f>IF(A340="","",IF(Clean_Data!H340="","FAIL","PASS"))</f>
        <v/>
      </c>
      <c r="H340" s="16" t="str">
        <f>IF(A340="","",IF(OR(Clean_Data!D340="",Clean_Data!K340="NO"),"FAIL","PASS"))</f>
        <v/>
      </c>
      <c r="I340" s="16" t="str">
        <f t="shared" si="15"/>
        <v/>
      </c>
      <c r="J340" s="17" t="str">
        <f t="shared" si="16"/>
        <v/>
      </c>
      <c r="K340" s="16" t="str">
        <f t="shared" si="17"/>
        <v/>
      </c>
    </row>
    <row r="341" spans="1:11" x14ac:dyDescent="0.35">
      <c r="A341" s="8" t="str">
        <f>Clean_Data!A341</f>
        <v/>
      </c>
      <c r="B341" s="16" t="str">
        <f>IF(A341="","",IF(Clean_Data!C341="","FAIL","PASS"))</f>
        <v/>
      </c>
      <c r="C341" s="16" t="str">
        <f>IF(A341="","",IF(AND(Clean_Data!C341&lt;&gt;"",Clean_Data!J341="NO"),"FAIL","PASS"))</f>
        <v/>
      </c>
      <c r="D341" s="16" t="str">
        <f>IF(A341="","",IF(Clean_Data!E341="","FAIL","PASS"))</f>
        <v/>
      </c>
      <c r="E341" s="16" t="str">
        <f>IF(A341="","",IF(Clean_Data!G341="","FAIL","PASS"))</f>
        <v/>
      </c>
      <c r="F341" s="16" t="str">
        <f>IF(A341="","",IF(Clean_Data!G341="","OK",IF(Clean_Data!G341&gt;16,"FLAG","OK")))</f>
        <v/>
      </c>
      <c r="G341" s="16" t="str">
        <f>IF(A341="","",IF(Clean_Data!H341="","FAIL","PASS"))</f>
        <v/>
      </c>
      <c r="H341" s="16" t="str">
        <f>IF(A341="","",IF(OR(Clean_Data!D341="",Clean_Data!K341="NO"),"FAIL","PASS"))</f>
        <v/>
      </c>
      <c r="I341" s="16" t="str">
        <f t="shared" si="15"/>
        <v/>
      </c>
      <c r="J341" s="17" t="str">
        <f t="shared" si="16"/>
        <v/>
      </c>
      <c r="K341" s="16" t="str">
        <f t="shared" si="17"/>
        <v/>
      </c>
    </row>
    <row r="342" spans="1:11" x14ac:dyDescent="0.35">
      <c r="A342" s="8" t="str">
        <f>Clean_Data!A342</f>
        <v/>
      </c>
      <c r="B342" s="16" t="str">
        <f>IF(A342="","",IF(Clean_Data!C342="","FAIL","PASS"))</f>
        <v/>
      </c>
      <c r="C342" s="16" t="str">
        <f>IF(A342="","",IF(AND(Clean_Data!C342&lt;&gt;"",Clean_Data!J342="NO"),"FAIL","PASS"))</f>
        <v/>
      </c>
      <c r="D342" s="16" t="str">
        <f>IF(A342="","",IF(Clean_Data!E342="","FAIL","PASS"))</f>
        <v/>
      </c>
      <c r="E342" s="16" t="str">
        <f>IF(A342="","",IF(Clean_Data!G342="","FAIL","PASS"))</f>
        <v/>
      </c>
      <c r="F342" s="16" t="str">
        <f>IF(A342="","",IF(Clean_Data!G342="","OK",IF(Clean_Data!G342&gt;16,"FLAG","OK")))</f>
        <v/>
      </c>
      <c r="G342" s="16" t="str">
        <f>IF(A342="","",IF(Clean_Data!H342="","FAIL","PASS"))</f>
        <v/>
      </c>
      <c r="H342" s="16" t="str">
        <f>IF(A342="","",IF(OR(Clean_Data!D342="",Clean_Data!K342="NO"),"FAIL","PASS"))</f>
        <v/>
      </c>
      <c r="I342" s="16" t="str">
        <f t="shared" si="15"/>
        <v/>
      </c>
      <c r="J342" s="17" t="str">
        <f t="shared" si="16"/>
        <v/>
      </c>
      <c r="K342" s="16" t="str">
        <f t="shared" si="17"/>
        <v/>
      </c>
    </row>
    <row r="343" spans="1:11" x14ac:dyDescent="0.35">
      <c r="A343" s="8" t="str">
        <f>Clean_Data!A343</f>
        <v/>
      </c>
      <c r="B343" s="16" t="str">
        <f>IF(A343="","",IF(Clean_Data!C343="","FAIL","PASS"))</f>
        <v/>
      </c>
      <c r="C343" s="16" t="str">
        <f>IF(A343="","",IF(AND(Clean_Data!C343&lt;&gt;"",Clean_Data!J343="NO"),"FAIL","PASS"))</f>
        <v/>
      </c>
      <c r="D343" s="16" t="str">
        <f>IF(A343="","",IF(Clean_Data!E343="","FAIL","PASS"))</f>
        <v/>
      </c>
      <c r="E343" s="16" t="str">
        <f>IF(A343="","",IF(Clean_Data!G343="","FAIL","PASS"))</f>
        <v/>
      </c>
      <c r="F343" s="16" t="str">
        <f>IF(A343="","",IF(Clean_Data!G343="","OK",IF(Clean_Data!G343&gt;16,"FLAG","OK")))</f>
        <v/>
      </c>
      <c r="G343" s="16" t="str">
        <f>IF(A343="","",IF(Clean_Data!H343="","FAIL","PASS"))</f>
        <v/>
      </c>
      <c r="H343" s="16" t="str">
        <f>IF(A343="","",IF(OR(Clean_Data!D343="",Clean_Data!K343="NO"),"FAIL","PASS"))</f>
        <v/>
      </c>
      <c r="I343" s="16" t="str">
        <f t="shared" si="15"/>
        <v/>
      </c>
      <c r="J343" s="17" t="str">
        <f t="shared" si="16"/>
        <v/>
      </c>
      <c r="K343" s="16" t="str">
        <f t="shared" si="17"/>
        <v/>
      </c>
    </row>
    <row r="344" spans="1:11" x14ac:dyDescent="0.35">
      <c r="A344" s="8" t="str">
        <f>Clean_Data!A344</f>
        <v/>
      </c>
      <c r="B344" s="16" t="str">
        <f>IF(A344="","",IF(Clean_Data!C344="","FAIL","PASS"))</f>
        <v/>
      </c>
      <c r="C344" s="16" t="str">
        <f>IF(A344="","",IF(AND(Clean_Data!C344&lt;&gt;"",Clean_Data!J344="NO"),"FAIL","PASS"))</f>
        <v/>
      </c>
      <c r="D344" s="16" t="str">
        <f>IF(A344="","",IF(Clean_Data!E344="","FAIL","PASS"))</f>
        <v/>
      </c>
      <c r="E344" s="16" t="str">
        <f>IF(A344="","",IF(Clean_Data!G344="","FAIL","PASS"))</f>
        <v/>
      </c>
      <c r="F344" s="16" t="str">
        <f>IF(A344="","",IF(Clean_Data!G344="","OK",IF(Clean_Data!G344&gt;16,"FLAG","OK")))</f>
        <v/>
      </c>
      <c r="G344" s="16" t="str">
        <f>IF(A344="","",IF(Clean_Data!H344="","FAIL","PASS"))</f>
        <v/>
      </c>
      <c r="H344" s="16" t="str">
        <f>IF(A344="","",IF(OR(Clean_Data!D344="",Clean_Data!K344="NO"),"FAIL","PASS"))</f>
        <v/>
      </c>
      <c r="I344" s="16" t="str">
        <f t="shared" si="15"/>
        <v/>
      </c>
      <c r="J344" s="17" t="str">
        <f t="shared" si="16"/>
        <v/>
      </c>
      <c r="K344" s="16" t="str">
        <f t="shared" si="17"/>
        <v/>
      </c>
    </row>
    <row r="345" spans="1:11" x14ac:dyDescent="0.35">
      <c r="A345" s="8" t="str">
        <f>Clean_Data!A345</f>
        <v/>
      </c>
      <c r="B345" s="16" t="str">
        <f>IF(A345="","",IF(Clean_Data!C345="","FAIL","PASS"))</f>
        <v/>
      </c>
      <c r="C345" s="16" t="str">
        <f>IF(A345="","",IF(AND(Clean_Data!C345&lt;&gt;"",Clean_Data!J345="NO"),"FAIL","PASS"))</f>
        <v/>
      </c>
      <c r="D345" s="16" t="str">
        <f>IF(A345="","",IF(Clean_Data!E345="","FAIL","PASS"))</f>
        <v/>
      </c>
      <c r="E345" s="16" t="str">
        <f>IF(A345="","",IF(Clean_Data!G345="","FAIL","PASS"))</f>
        <v/>
      </c>
      <c r="F345" s="16" t="str">
        <f>IF(A345="","",IF(Clean_Data!G345="","OK",IF(Clean_Data!G345&gt;16,"FLAG","OK")))</f>
        <v/>
      </c>
      <c r="G345" s="16" t="str">
        <f>IF(A345="","",IF(Clean_Data!H345="","FAIL","PASS"))</f>
        <v/>
      </c>
      <c r="H345" s="16" t="str">
        <f>IF(A345="","",IF(OR(Clean_Data!D345="",Clean_Data!K345="NO"),"FAIL","PASS"))</f>
        <v/>
      </c>
      <c r="I345" s="16" t="str">
        <f t="shared" si="15"/>
        <v/>
      </c>
      <c r="J345" s="17" t="str">
        <f t="shared" si="16"/>
        <v/>
      </c>
      <c r="K345" s="16" t="str">
        <f t="shared" si="17"/>
        <v/>
      </c>
    </row>
    <row r="346" spans="1:11" x14ac:dyDescent="0.35">
      <c r="A346" s="8" t="str">
        <f>Clean_Data!A346</f>
        <v/>
      </c>
      <c r="B346" s="16" t="str">
        <f>IF(A346="","",IF(Clean_Data!C346="","FAIL","PASS"))</f>
        <v/>
      </c>
      <c r="C346" s="16" t="str">
        <f>IF(A346="","",IF(AND(Clean_Data!C346&lt;&gt;"",Clean_Data!J346="NO"),"FAIL","PASS"))</f>
        <v/>
      </c>
      <c r="D346" s="16" t="str">
        <f>IF(A346="","",IF(Clean_Data!E346="","FAIL","PASS"))</f>
        <v/>
      </c>
      <c r="E346" s="16" t="str">
        <f>IF(A346="","",IF(Clean_Data!G346="","FAIL","PASS"))</f>
        <v/>
      </c>
      <c r="F346" s="16" t="str">
        <f>IF(A346="","",IF(Clean_Data!G346="","OK",IF(Clean_Data!G346&gt;16,"FLAG","OK")))</f>
        <v/>
      </c>
      <c r="G346" s="16" t="str">
        <f>IF(A346="","",IF(Clean_Data!H346="","FAIL","PASS"))</f>
        <v/>
      </c>
      <c r="H346" s="16" t="str">
        <f>IF(A346="","",IF(OR(Clean_Data!D346="",Clean_Data!K346="NO"),"FAIL","PASS"))</f>
        <v/>
      </c>
      <c r="I346" s="16" t="str">
        <f t="shared" si="15"/>
        <v/>
      </c>
      <c r="J346" s="17" t="str">
        <f t="shared" si="16"/>
        <v/>
      </c>
      <c r="K346" s="16" t="str">
        <f t="shared" si="17"/>
        <v/>
      </c>
    </row>
    <row r="347" spans="1:11" x14ac:dyDescent="0.35">
      <c r="A347" s="8" t="str">
        <f>Clean_Data!A347</f>
        <v/>
      </c>
      <c r="B347" s="16" t="str">
        <f>IF(A347="","",IF(Clean_Data!C347="","FAIL","PASS"))</f>
        <v/>
      </c>
      <c r="C347" s="16" t="str">
        <f>IF(A347="","",IF(AND(Clean_Data!C347&lt;&gt;"",Clean_Data!J347="NO"),"FAIL","PASS"))</f>
        <v/>
      </c>
      <c r="D347" s="16" t="str">
        <f>IF(A347="","",IF(Clean_Data!E347="","FAIL","PASS"))</f>
        <v/>
      </c>
      <c r="E347" s="16" t="str">
        <f>IF(A347="","",IF(Clean_Data!G347="","FAIL","PASS"))</f>
        <v/>
      </c>
      <c r="F347" s="16" t="str">
        <f>IF(A347="","",IF(Clean_Data!G347="","OK",IF(Clean_Data!G347&gt;16,"FLAG","OK")))</f>
        <v/>
      </c>
      <c r="G347" s="16" t="str">
        <f>IF(A347="","",IF(Clean_Data!H347="","FAIL","PASS"))</f>
        <v/>
      </c>
      <c r="H347" s="16" t="str">
        <f>IF(A347="","",IF(OR(Clean_Data!D347="",Clean_Data!K347="NO"),"FAIL","PASS"))</f>
        <v/>
      </c>
      <c r="I347" s="16" t="str">
        <f t="shared" si="15"/>
        <v/>
      </c>
      <c r="J347" s="17" t="str">
        <f t="shared" si="16"/>
        <v/>
      </c>
      <c r="K347" s="16" t="str">
        <f t="shared" si="17"/>
        <v/>
      </c>
    </row>
    <row r="348" spans="1:11" x14ac:dyDescent="0.35">
      <c r="A348" s="8" t="str">
        <f>Clean_Data!A348</f>
        <v/>
      </c>
      <c r="B348" s="16" t="str">
        <f>IF(A348="","",IF(Clean_Data!C348="","FAIL","PASS"))</f>
        <v/>
      </c>
      <c r="C348" s="16" t="str">
        <f>IF(A348="","",IF(AND(Clean_Data!C348&lt;&gt;"",Clean_Data!J348="NO"),"FAIL","PASS"))</f>
        <v/>
      </c>
      <c r="D348" s="16" t="str">
        <f>IF(A348="","",IF(Clean_Data!E348="","FAIL","PASS"))</f>
        <v/>
      </c>
      <c r="E348" s="16" t="str">
        <f>IF(A348="","",IF(Clean_Data!G348="","FAIL","PASS"))</f>
        <v/>
      </c>
      <c r="F348" s="16" t="str">
        <f>IF(A348="","",IF(Clean_Data!G348="","OK",IF(Clean_Data!G348&gt;16,"FLAG","OK")))</f>
        <v/>
      </c>
      <c r="G348" s="16" t="str">
        <f>IF(A348="","",IF(Clean_Data!H348="","FAIL","PASS"))</f>
        <v/>
      </c>
      <c r="H348" s="16" t="str">
        <f>IF(A348="","",IF(OR(Clean_Data!D348="",Clean_Data!K348="NO"),"FAIL","PASS"))</f>
        <v/>
      </c>
      <c r="I348" s="16" t="str">
        <f t="shared" si="15"/>
        <v/>
      </c>
      <c r="J348" s="17" t="str">
        <f t="shared" si="16"/>
        <v/>
      </c>
      <c r="K348" s="16" t="str">
        <f t="shared" si="17"/>
        <v/>
      </c>
    </row>
    <row r="349" spans="1:11" x14ac:dyDescent="0.35">
      <c r="A349" s="8" t="str">
        <f>Clean_Data!A349</f>
        <v/>
      </c>
      <c r="B349" s="16" t="str">
        <f>IF(A349="","",IF(Clean_Data!C349="","FAIL","PASS"))</f>
        <v/>
      </c>
      <c r="C349" s="16" t="str">
        <f>IF(A349="","",IF(AND(Clean_Data!C349&lt;&gt;"",Clean_Data!J349="NO"),"FAIL","PASS"))</f>
        <v/>
      </c>
      <c r="D349" s="16" t="str">
        <f>IF(A349="","",IF(Clean_Data!E349="","FAIL","PASS"))</f>
        <v/>
      </c>
      <c r="E349" s="16" t="str">
        <f>IF(A349="","",IF(Clean_Data!G349="","FAIL","PASS"))</f>
        <v/>
      </c>
      <c r="F349" s="16" t="str">
        <f>IF(A349="","",IF(Clean_Data!G349="","OK",IF(Clean_Data!G349&gt;16,"FLAG","OK")))</f>
        <v/>
      </c>
      <c r="G349" s="16" t="str">
        <f>IF(A349="","",IF(Clean_Data!H349="","FAIL","PASS"))</f>
        <v/>
      </c>
      <c r="H349" s="16" t="str">
        <f>IF(A349="","",IF(OR(Clean_Data!D349="",Clean_Data!K349="NO"),"FAIL","PASS"))</f>
        <v/>
      </c>
      <c r="I349" s="16" t="str">
        <f t="shared" si="15"/>
        <v/>
      </c>
      <c r="J349" s="17" t="str">
        <f t="shared" si="16"/>
        <v/>
      </c>
      <c r="K349" s="16" t="str">
        <f t="shared" si="17"/>
        <v/>
      </c>
    </row>
    <row r="350" spans="1:11" x14ac:dyDescent="0.35">
      <c r="A350" s="8" t="str">
        <f>Clean_Data!A350</f>
        <v/>
      </c>
      <c r="B350" s="16" t="str">
        <f>IF(A350="","",IF(Clean_Data!C350="","FAIL","PASS"))</f>
        <v/>
      </c>
      <c r="C350" s="16" t="str">
        <f>IF(A350="","",IF(AND(Clean_Data!C350&lt;&gt;"",Clean_Data!J350="NO"),"FAIL","PASS"))</f>
        <v/>
      </c>
      <c r="D350" s="16" t="str">
        <f>IF(A350="","",IF(Clean_Data!E350="","FAIL","PASS"))</f>
        <v/>
      </c>
      <c r="E350" s="16" t="str">
        <f>IF(A350="","",IF(Clean_Data!G350="","FAIL","PASS"))</f>
        <v/>
      </c>
      <c r="F350" s="16" t="str">
        <f>IF(A350="","",IF(Clean_Data!G350="","OK",IF(Clean_Data!G350&gt;16,"FLAG","OK")))</f>
        <v/>
      </c>
      <c r="G350" s="16" t="str">
        <f>IF(A350="","",IF(Clean_Data!H350="","FAIL","PASS"))</f>
        <v/>
      </c>
      <c r="H350" s="16" t="str">
        <f>IF(A350="","",IF(OR(Clean_Data!D350="",Clean_Data!K350="NO"),"FAIL","PASS"))</f>
        <v/>
      </c>
      <c r="I350" s="16" t="str">
        <f t="shared" si="15"/>
        <v/>
      </c>
      <c r="J350" s="17" t="str">
        <f t="shared" si="16"/>
        <v/>
      </c>
      <c r="K350" s="16" t="str">
        <f t="shared" si="17"/>
        <v/>
      </c>
    </row>
    <row r="351" spans="1:11" x14ac:dyDescent="0.35">
      <c r="A351" s="8" t="str">
        <f>Clean_Data!A351</f>
        <v/>
      </c>
      <c r="B351" s="16" t="str">
        <f>IF(A351="","",IF(Clean_Data!C351="","FAIL","PASS"))</f>
        <v/>
      </c>
      <c r="C351" s="16" t="str">
        <f>IF(A351="","",IF(AND(Clean_Data!C351&lt;&gt;"",Clean_Data!J351="NO"),"FAIL","PASS"))</f>
        <v/>
      </c>
      <c r="D351" s="16" t="str">
        <f>IF(A351="","",IF(Clean_Data!E351="","FAIL","PASS"))</f>
        <v/>
      </c>
      <c r="E351" s="16" t="str">
        <f>IF(A351="","",IF(Clean_Data!G351="","FAIL","PASS"))</f>
        <v/>
      </c>
      <c r="F351" s="16" t="str">
        <f>IF(A351="","",IF(Clean_Data!G351="","OK",IF(Clean_Data!G351&gt;16,"FLAG","OK")))</f>
        <v/>
      </c>
      <c r="G351" s="16" t="str">
        <f>IF(A351="","",IF(Clean_Data!H351="","FAIL","PASS"))</f>
        <v/>
      </c>
      <c r="H351" s="16" t="str">
        <f>IF(A351="","",IF(OR(Clean_Data!D351="",Clean_Data!K351="NO"),"FAIL","PASS"))</f>
        <v/>
      </c>
      <c r="I351" s="16" t="str">
        <f t="shared" si="15"/>
        <v/>
      </c>
      <c r="J351" s="17" t="str">
        <f t="shared" si="16"/>
        <v/>
      </c>
      <c r="K351" s="16" t="str">
        <f t="shared" si="17"/>
        <v/>
      </c>
    </row>
    <row r="352" spans="1:11" x14ac:dyDescent="0.35">
      <c r="A352" s="8" t="str">
        <f>Clean_Data!A352</f>
        <v/>
      </c>
      <c r="B352" s="16" t="str">
        <f>IF(A352="","",IF(Clean_Data!C352="","FAIL","PASS"))</f>
        <v/>
      </c>
      <c r="C352" s="16" t="str">
        <f>IF(A352="","",IF(AND(Clean_Data!C352&lt;&gt;"",Clean_Data!J352="NO"),"FAIL","PASS"))</f>
        <v/>
      </c>
      <c r="D352" s="16" t="str">
        <f>IF(A352="","",IF(Clean_Data!E352="","FAIL","PASS"))</f>
        <v/>
      </c>
      <c r="E352" s="16" t="str">
        <f>IF(A352="","",IF(Clean_Data!G352="","FAIL","PASS"))</f>
        <v/>
      </c>
      <c r="F352" s="16" t="str">
        <f>IF(A352="","",IF(Clean_Data!G352="","OK",IF(Clean_Data!G352&gt;16,"FLAG","OK")))</f>
        <v/>
      </c>
      <c r="G352" s="16" t="str">
        <f>IF(A352="","",IF(Clean_Data!H352="","FAIL","PASS"))</f>
        <v/>
      </c>
      <c r="H352" s="16" t="str">
        <f>IF(A352="","",IF(OR(Clean_Data!D352="",Clean_Data!K352="NO"),"FAIL","PASS"))</f>
        <v/>
      </c>
      <c r="I352" s="16" t="str">
        <f t="shared" si="15"/>
        <v/>
      </c>
      <c r="J352" s="17" t="str">
        <f t="shared" si="16"/>
        <v/>
      </c>
      <c r="K352" s="16" t="str">
        <f t="shared" si="17"/>
        <v/>
      </c>
    </row>
    <row r="353" spans="1:11" x14ac:dyDescent="0.35">
      <c r="A353" s="8" t="str">
        <f>Clean_Data!A353</f>
        <v/>
      </c>
      <c r="B353" s="16" t="str">
        <f>IF(A353="","",IF(Clean_Data!C353="","FAIL","PASS"))</f>
        <v/>
      </c>
      <c r="C353" s="16" t="str">
        <f>IF(A353="","",IF(AND(Clean_Data!C353&lt;&gt;"",Clean_Data!J353="NO"),"FAIL","PASS"))</f>
        <v/>
      </c>
      <c r="D353" s="16" t="str">
        <f>IF(A353="","",IF(Clean_Data!E353="","FAIL","PASS"))</f>
        <v/>
      </c>
      <c r="E353" s="16" t="str">
        <f>IF(A353="","",IF(Clean_Data!G353="","FAIL","PASS"))</f>
        <v/>
      </c>
      <c r="F353" s="16" t="str">
        <f>IF(A353="","",IF(Clean_Data!G353="","OK",IF(Clean_Data!G353&gt;16,"FLAG","OK")))</f>
        <v/>
      </c>
      <c r="G353" s="16" t="str">
        <f>IF(A353="","",IF(Clean_Data!H353="","FAIL","PASS"))</f>
        <v/>
      </c>
      <c r="H353" s="16" t="str">
        <f>IF(A353="","",IF(OR(Clean_Data!D353="",Clean_Data!K353="NO"),"FAIL","PASS"))</f>
        <v/>
      </c>
      <c r="I353" s="16" t="str">
        <f t="shared" si="15"/>
        <v/>
      </c>
      <c r="J353" s="17" t="str">
        <f t="shared" si="16"/>
        <v/>
      </c>
      <c r="K353" s="16" t="str">
        <f t="shared" si="17"/>
        <v/>
      </c>
    </row>
    <row r="354" spans="1:11" x14ac:dyDescent="0.35">
      <c r="A354" s="8" t="str">
        <f>Clean_Data!A354</f>
        <v/>
      </c>
      <c r="B354" s="16" t="str">
        <f>IF(A354="","",IF(Clean_Data!C354="","FAIL","PASS"))</f>
        <v/>
      </c>
      <c r="C354" s="16" t="str">
        <f>IF(A354="","",IF(AND(Clean_Data!C354&lt;&gt;"",Clean_Data!J354="NO"),"FAIL","PASS"))</f>
        <v/>
      </c>
      <c r="D354" s="16" t="str">
        <f>IF(A354="","",IF(Clean_Data!E354="","FAIL","PASS"))</f>
        <v/>
      </c>
      <c r="E354" s="16" t="str">
        <f>IF(A354="","",IF(Clean_Data!G354="","FAIL","PASS"))</f>
        <v/>
      </c>
      <c r="F354" s="16" t="str">
        <f>IF(A354="","",IF(Clean_Data!G354="","OK",IF(Clean_Data!G354&gt;16,"FLAG","OK")))</f>
        <v/>
      </c>
      <c r="G354" s="16" t="str">
        <f>IF(A354="","",IF(Clean_Data!H354="","FAIL","PASS"))</f>
        <v/>
      </c>
      <c r="H354" s="16" t="str">
        <f>IF(A354="","",IF(OR(Clean_Data!D354="",Clean_Data!K354="NO"),"FAIL","PASS"))</f>
        <v/>
      </c>
      <c r="I354" s="16" t="str">
        <f t="shared" si="15"/>
        <v/>
      </c>
      <c r="J354" s="17" t="str">
        <f t="shared" si="16"/>
        <v/>
      </c>
      <c r="K354" s="16" t="str">
        <f t="shared" si="17"/>
        <v/>
      </c>
    </row>
    <row r="355" spans="1:11" x14ac:dyDescent="0.35">
      <c r="A355" s="8" t="str">
        <f>Clean_Data!A355</f>
        <v/>
      </c>
      <c r="B355" s="16" t="str">
        <f>IF(A355="","",IF(Clean_Data!C355="","FAIL","PASS"))</f>
        <v/>
      </c>
      <c r="C355" s="16" t="str">
        <f>IF(A355="","",IF(AND(Clean_Data!C355&lt;&gt;"",Clean_Data!J355="NO"),"FAIL","PASS"))</f>
        <v/>
      </c>
      <c r="D355" s="16" t="str">
        <f>IF(A355="","",IF(Clean_Data!E355="","FAIL","PASS"))</f>
        <v/>
      </c>
      <c r="E355" s="16" t="str">
        <f>IF(A355="","",IF(Clean_Data!G355="","FAIL","PASS"))</f>
        <v/>
      </c>
      <c r="F355" s="16" t="str">
        <f>IF(A355="","",IF(Clean_Data!G355="","OK",IF(Clean_Data!G355&gt;16,"FLAG","OK")))</f>
        <v/>
      </c>
      <c r="G355" s="16" t="str">
        <f>IF(A355="","",IF(Clean_Data!H355="","FAIL","PASS"))</f>
        <v/>
      </c>
      <c r="H355" s="16" t="str">
        <f>IF(A355="","",IF(OR(Clean_Data!D355="",Clean_Data!K355="NO"),"FAIL","PASS"))</f>
        <v/>
      </c>
      <c r="I355" s="16" t="str">
        <f t="shared" si="15"/>
        <v/>
      </c>
      <c r="J355" s="17" t="str">
        <f t="shared" si="16"/>
        <v/>
      </c>
      <c r="K355" s="16" t="str">
        <f t="shared" si="17"/>
        <v/>
      </c>
    </row>
    <row r="356" spans="1:11" x14ac:dyDescent="0.35">
      <c r="A356" s="8" t="str">
        <f>Clean_Data!A356</f>
        <v/>
      </c>
      <c r="B356" s="16" t="str">
        <f>IF(A356="","",IF(Clean_Data!C356="","FAIL","PASS"))</f>
        <v/>
      </c>
      <c r="C356" s="16" t="str">
        <f>IF(A356="","",IF(AND(Clean_Data!C356&lt;&gt;"",Clean_Data!J356="NO"),"FAIL","PASS"))</f>
        <v/>
      </c>
      <c r="D356" s="16" t="str">
        <f>IF(A356="","",IF(Clean_Data!E356="","FAIL","PASS"))</f>
        <v/>
      </c>
      <c r="E356" s="16" t="str">
        <f>IF(A356="","",IF(Clean_Data!G356="","FAIL","PASS"))</f>
        <v/>
      </c>
      <c r="F356" s="16" t="str">
        <f>IF(A356="","",IF(Clean_Data!G356="","OK",IF(Clean_Data!G356&gt;16,"FLAG","OK")))</f>
        <v/>
      </c>
      <c r="G356" s="16" t="str">
        <f>IF(A356="","",IF(Clean_Data!H356="","FAIL","PASS"))</f>
        <v/>
      </c>
      <c r="H356" s="16" t="str">
        <f>IF(A356="","",IF(OR(Clean_Data!D356="",Clean_Data!K356="NO"),"FAIL","PASS"))</f>
        <v/>
      </c>
      <c r="I356" s="16" t="str">
        <f t="shared" si="15"/>
        <v/>
      </c>
      <c r="J356" s="17" t="str">
        <f t="shared" si="16"/>
        <v/>
      </c>
      <c r="K356" s="16" t="str">
        <f t="shared" si="17"/>
        <v/>
      </c>
    </row>
    <row r="357" spans="1:11" x14ac:dyDescent="0.35">
      <c r="A357" s="8" t="str">
        <f>Clean_Data!A357</f>
        <v/>
      </c>
      <c r="B357" s="16" t="str">
        <f>IF(A357="","",IF(Clean_Data!C357="","FAIL","PASS"))</f>
        <v/>
      </c>
      <c r="C357" s="16" t="str">
        <f>IF(A357="","",IF(AND(Clean_Data!C357&lt;&gt;"",Clean_Data!J357="NO"),"FAIL","PASS"))</f>
        <v/>
      </c>
      <c r="D357" s="16" t="str">
        <f>IF(A357="","",IF(Clean_Data!E357="","FAIL","PASS"))</f>
        <v/>
      </c>
      <c r="E357" s="16" t="str">
        <f>IF(A357="","",IF(Clean_Data!G357="","FAIL","PASS"))</f>
        <v/>
      </c>
      <c r="F357" s="16" t="str">
        <f>IF(A357="","",IF(Clean_Data!G357="","OK",IF(Clean_Data!G357&gt;16,"FLAG","OK")))</f>
        <v/>
      </c>
      <c r="G357" s="16" t="str">
        <f>IF(A357="","",IF(Clean_Data!H357="","FAIL","PASS"))</f>
        <v/>
      </c>
      <c r="H357" s="16" t="str">
        <f>IF(A357="","",IF(OR(Clean_Data!D357="",Clean_Data!K357="NO"),"FAIL","PASS"))</f>
        <v/>
      </c>
      <c r="I357" s="16" t="str">
        <f t="shared" si="15"/>
        <v/>
      </c>
      <c r="J357" s="17" t="str">
        <f t="shared" si="16"/>
        <v/>
      </c>
      <c r="K357" s="16" t="str">
        <f t="shared" si="17"/>
        <v/>
      </c>
    </row>
    <row r="358" spans="1:11" x14ac:dyDescent="0.35">
      <c r="A358" s="8" t="str">
        <f>Clean_Data!A358</f>
        <v/>
      </c>
      <c r="B358" s="16" t="str">
        <f>IF(A358="","",IF(Clean_Data!C358="","FAIL","PASS"))</f>
        <v/>
      </c>
      <c r="C358" s="16" t="str">
        <f>IF(A358="","",IF(AND(Clean_Data!C358&lt;&gt;"",Clean_Data!J358="NO"),"FAIL","PASS"))</f>
        <v/>
      </c>
      <c r="D358" s="16" t="str">
        <f>IF(A358="","",IF(Clean_Data!E358="","FAIL","PASS"))</f>
        <v/>
      </c>
      <c r="E358" s="16" t="str">
        <f>IF(A358="","",IF(Clean_Data!G358="","FAIL","PASS"))</f>
        <v/>
      </c>
      <c r="F358" s="16" t="str">
        <f>IF(A358="","",IF(Clean_Data!G358="","OK",IF(Clean_Data!G358&gt;16,"FLAG","OK")))</f>
        <v/>
      </c>
      <c r="G358" s="16" t="str">
        <f>IF(A358="","",IF(Clean_Data!H358="","FAIL","PASS"))</f>
        <v/>
      </c>
      <c r="H358" s="16" t="str">
        <f>IF(A358="","",IF(OR(Clean_Data!D358="",Clean_Data!K358="NO"),"FAIL","PASS"))</f>
        <v/>
      </c>
      <c r="I358" s="16" t="str">
        <f t="shared" si="15"/>
        <v/>
      </c>
      <c r="J358" s="17" t="str">
        <f t="shared" si="16"/>
        <v/>
      </c>
      <c r="K358" s="16" t="str">
        <f t="shared" si="17"/>
        <v/>
      </c>
    </row>
    <row r="359" spans="1:11" x14ac:dyDescent="0.35">
      <c r="A359" s="8" t="str">
        <f>Clean_Data!A359</f>
        <v/>
      </c>
      <c r="B359" s="16" t="str">
        <f>IF(A359="","",IF(Clean_Data!C359="","FAIL","PASS"))</f>
        <v/>
      </c>
      <c r="C359" s="16" t="str">
        <f>IF(A359="","",IF(AND(Clean_Data!C359&lt;&gt;"",Clean_Data!J359="NO"),"FAIL","PASS"))</f>
        <v/>
      </c>
      <c r="D359" s="16" t="str">
        <f>IF(A359="","",IF(Clean_Data!E359="","FAIL","PASS"))</f>
        <v/>
      </c>
      <c r="E359" s="16" t="str">
        <f>IF(A359="","",IF(Clean_Data!G359="","FAIL","PASS"))</f>
        <v/>
      </c>
      <c r="F359" s="16" t="str">
        <f>IF(A359="","",IF(Clean_Data!G359="","OK",IF(Clean_Data!G359&gt;16,"FLAG","OK")))</f>
        <v/>
      </c>
      <c r="G359" s="16" t="str">
        <f>IF(A359="","",IF(Clean_Data!H359="","FAIL","PASS"))</f>
        <v/>
      </c>
      <c r="H359" s="16" t="str">
        <f>IF(A359="","",IF(OR(Clean_Data!D359="",Clean_Data!K359="NO"),"FAIL","PASS"))</f>
        <v/>
      </c>
      <c r="I359" s="16" t="str">
        <f t="shared" si="15"/>
        <v/>
      </c>
      <c r="J359" s="17" t="str">
        <f t="shared" si="16"/>
        <v/>
      </c>
      <c r="K359" s="16" t="str">
        <f t="shared" si="17"/>
        <v/>
      </c>
    </row>
    <row r="360" spans="1:11" x14ac:dyDescent="0.35">
      <c r="A360" s="8" t="str">
        <f>Clean_Data!A360</f>
        <v/>
      </c>
      <c r="B360" s="16" t="str">
        <f>IF(A360="","",IF(Clean_Data!C360="","FAIL","PASS"))</f>
        <v/>
      </c>
      <c r="C360" s="16" t="str">
        <f>IF(A360="","",IF(AND(Clean_Data!C360&lt;&gt;"",Clean_Data!J360="NO"),"FAIL","PASS"))</f>
        <v/>
      </c>
      <c r="D360" s="16" t="str">
        <f>IF(A360="","",IF(Clean_Data!E360="","FAIL","PASS"))</f>
        <v/>
      </c>
      <c r="E360" s="16" t="str">
        <f>IF(A360="","",IF(Clean_Data!G360="","FAIL","PASS"))</f>
        <v/>
      </c>
      <c r="F360" s="16" t="str">
        <f>IF(A360="","",IF(Clean_Data!G360="","OK",IF(Clean_Data!G360&gt;16,"FLAG","OK")))</f>
        <v/>
      </c>
      <c r="G360" s="16" t="str">
        <f>IF(A360="","",IF(Clean_Data!H360="","FAIL","PASS"))</f>
        <v/>
      </c>
      <c r="H360" s="16" t="str">
        <f>IF(A360="","",IF(OR(Clean_Data!D360="",Clean_Data!K360="NO"),"FAIL","PASS"))</f>
        <v/>
      </c>
      <c r="I360" s="16" t="str">
        <f t="shared" si="15"/>
        <v/>
      </c>
      <c r="J360" s="17" t="str">
        <f t="shared" si="16"/>
        <v/>
      </c>
      <c r="K360" s="16" t="str">
        <f t="shared" si="17"/>
        <v/>
      </c>
    </row>
    <row r="361" spans="1:11" x14ac:dyDescent="0.35">
      <c r="A361" s="8" t="str">
        <f>Clean_Data!A361</f>
        <v/>
      </c>
      <c r="B361" s="16" t="str">
        <f>IF(A361="","",IF(Clean_Data!C361="","FAIL","PASS"))</f>
        <v/>
      </c>
      <c r="C361" s="16" t="str">
        <f>IF(A361="","",IF(AND(Clean_Data!C361&lt;&gt;"",Clean_Data!J361="NO"),"FAIL","PASS"))</f>
        <v/>
      </c>
      <c r="D361" s="16" t="str">
        <f>IF(A361="","",IF(Clean_Data!E361="","FAIL","PASS"))</f>
        <v/>
      </c>
      <c r="E361" s="16" t="str">
        <f>IF(A361="","",IF(Clean_Data!G361="","FAIL","PASS"))</f>
        <v/>
      </c>
      <c r="F361" s="16" t="str">
        <f>IF(A361="","",IF(Clean_Data!G361="","OK",IF(Clean_Data!G361&gt;16,"FLAG","OK")))</f>
        <v/>
      </c>
      <c r="G361" s="16" t="str">
        <f>IF(A361="","",IF(Clean_Data!H361="","FAIL","PASS"))</f>
        <v/>
      </c>
      <c r="H361" s="16" t="str">
        <f>IF(A361="","",IF(OR(Clean_Data!D361="",Clean_Data!K361="NO"),"FAIL","PASS"))</f>
        <v/>
      </c>
      <c r="I361" s="16" t="str">
        <f t="shared" si="15"/>
        <v/>
      </c>
      <c r="J361" s="17" t="str">
        <f t="shared" si="16"/>
        <v/>
      </c>
      <c r="K361" s="16" t="str">
        <f t="shared" si="17"/>
        <v/>
      </c>
    </row>
    <row r="362" spans="1:11" x14ac:dyDescent="0.35">
      <c r="A362" s="8" t="str">
        <f>Clean_Data!A362</f>
        <v/>
      </c>
      <c r="B362" s="16" t="str">
        <f>IF(A362="","",IF(Clean_Data!C362="","FAIL","PASS"))</f>
        <v/>
      </c>
      <c r="C362" s="16" t="str">
        <f>IF(A362="","",IF(AND(Clean_Data!C362&lt;&gt;"",Clean_Data!J362="NO"),"FAIL","PASS"))</f>
        <v/>
      </c>
      <c r="D362" s="16" t="str">
        <f>IF(A362="","",IF(Clean_Data!E362="","FAIL","PASS"))</f>
        <v/>
      </c>
      <c r="E362" s="16" t="str">
        <f>IF(A362="","",IF(Clean_Data!G362="","FAIL","PASS"))</f>
        <v/>
      </c>
      <c r="F362" s="16" t="str">
        <f>IF(A362="","",IF(Clean_Data!G362="","OK",IF(Clean_Data!G362&gt;16,"FLAG","OK")))</f>
        <v/>
      </c>
      <c r="G362" s="16" t="str">
        <f>IF(A362="","",IF(Clean_Data!H362="","FAIL","PASS"))</f>
        <v/>
      </c>
      <c r="H362" s="16" t="str">
        <f>IF(A362="","",IF(OR(Clean_Data!D362="",Clean_Data!K362="NO"),"FAIL","PASS"))</f>
        <v/>
      </c>
      <c r="I362" s="16" t="str">
        <f t="shared" si="15"/>
        <v/>
      </c>
      <c r="J362" s="17" t="str">
        <f t="shared" si="16"/>
        <v/>
      </c>
      <c r="K362" s="16" t="str">
        <f t="shared" si="17"/>
        <v/>
      </c>
    </row>
    <row r="363" spans="1:11" x14ac:dyDescent="0.35">
      <c r="A363" s="8" t="str">
        <f>Clean_Data!A363</f>
        <v/>
      </c>
      <c r="B363" s="16" t="str">
        <f>IF(A363="","",IF(Clean_Data!C363="","FAIL","PASS"))</f>
        <v/>
      </c>
      <c r="C363" s="16" t="str">
        <f>IF(A363="","",IF(AND(Clean_Data!C363&lt;&gt;"",Clean_Data!J363="NO"),"FAIL","PASS"))</f>
        <v/>
      </c>
      <c r="D363" s="16" t="str">
        <f>IF(A363="","",IF(Clean_Data!E363="","FAIL","PASS"))</f>
        <v/>
      </c>
      <c r="E363" s="16" t="str">
        <f>IF(A363="","",IF(Clean_Data!G363="","FAIL","PASS"))</f>
        <v/>
      </c>
      <c r="F363" s="16" t="str">
        <f>IF(A363="","",IF(Clean_Data!G363="","OK",IF(Clean_Data!G363&gt;16,"FLAG","OK")))</f>
        <v/>
      </c>
      <c r="G363" s="16" t="str">
        <f>IF(A363="","",IF(Clean_Data!H363="","FAIL","PASS"))</f>
        <v/>
      </c>
      <c r="H363" s="16" t="str">
        <f>IF(A363="","",IF(OR(Clean_Data!D363="",Clean_Data!K363="NO"),"FAIL","PASS"))</f>
        <v/>
      </c>
      <c r="I363" s="16" t="str">
        <f t="shared" si="15"/>
        <v/>
      </c>
      <c r="J363" s="17" t="str">
        <f t="shared" si="16"/>
        <v/>
      </c>
      <c r="K363" s="16" t="str">
        <f t="shared" si="17"/>
        <v/>
      </c>
    </row>
    <row r="364" spans="1:11" x14ac:dyDescent="0.35">
      <c r="A364" s="8" t="str">
        <f>Clean_Data!A364</f>
        <v/>
      </c>
      <c r="B364" s="16" t="str">
        <f>IF(A364="","",IF(Clean_Data!C364="","FAIL","PASS"))</f>
        <v/>
      </c>
      <c r="C364" s="16" t="str">
        <f>IF(A364="","",IF(AND(Clean_Data!C364&lt;&gt;"",Clean_Data!J364="NO"),"FAIL","PASS"))</f>
        <v/>
      </c>
      <c r="D364" s="16" t="str">
        <f>IF(A364="","",IF(Clean_Data!E364="","FAIL","PASS"))</f>
        <v/>
      </c>
      <c r="E364" s="16" t="str">
        <f>IF(A364="","",IF(Clean_Data!G364="","FAIL","PASS"))</f>
        <v/>
      </c>
      <c r="F364" s="16" t="str">
        <f>IF(A364="","",IF(Clean_Data!G364="","OK",IF(Clean_Data!G364&gt;16,"FLAG","OK")))</f>
        <v/>
      </c>
      <c r="G364" s="16" t="str">
        <f>IF(A364="","",IF(Clean_Data!H364="","FAIL","PASS"))</f>
        <v/>
      </c>
      <c r="H364" s="16" t="str">
        <f>IF(A364="","",IF(OR(Clean_Data!D364="",Clean_Data!K364="NO"),"FAIL","PASS"))</f>
        <v/>
      </c>
      <c r="I364" s="16" t="str">
        <f t="shared" si="15"/>
        <v/>
      </c>
      <c r="J364" s="17" t="str">
        <f t="shared" si="16"/>
        <v/>
      </c>
      <c r="K364" s="16" t="str">
        <f t="shared" si="17"/>
        <v/>
      </c>
    </row>
    <row r="365" spans="1:11" x14ac:dyDescent="0.35">
      <c r="A365" s="8" t="str">
        <f>Clean_Data!A365</f>
        <v/>
      </c>
      <c r="B365" s="16" t="str">
        <f>IF(A365="","",IF(Clean_Data!C365="","FAIL","PASS"))</f>
        <v/>
      </c>
      <c r="C365" s="16" t="str">
        <f>IF(A365="","",IF(AND(Clean_Data!C365&lt;&gt;"",Clean_Data!J365="NO"),"FAIL","PASS"))</f>
        <v/>
      </c>
      <c r="D365" s="16" t="str">
        <f>IF(A365="","",IF(Clean_Data!E365="","FAIL","PASS"))</f>
        <v/>
      </c>
      <c r="E365" s="16" t="str">
        <f>IF(A365="","",IF(Clean_Data!G365="","FAIL","PASS"))</f>
        <v/>
      </c>
      <c r="F365" s="16" t="str">
        <f>IF(A365="","",IF(Clean_Data!G365="","OK",IF(Clean_Data!G365&gt;16,"FLAG","OK")))</f>
        <v/>
      </c>
      <c r="G365" s="16" t="str">
        <f>IF(A365="","",IF(Clean_Data!H365="","FAIL","PASS"))</f>
        <v/>
      </c>
      <c r="H365" s="16" t="str">
        <f>IF(A365="","",IF(OR(Clean_Data!D365="",Clean_Data!K365="NO"),"FAIL","PASS"))</f>
        <v/>
      </c>
      <c r="I365" s="16" t="str">
        <f t="shared" si="15"/>
        <v/>
      </c>
      <c r="J365" s="17" t="str">
        <f t="shared" si="16"/>
        <v/>
      </c>
      <c r="K365" s="16" t="str">
        <f t="shared" si="17"/>
        <v/>
      </c>
    </row>
    <row r="366" spans="1:11" x14ac:dyDescent="0.35">
      <c r="A366" s="8" t="str">
        <f>Clean_Data!A366</f>
        <v/>
      </c>
      <c r="B366" s="16" t="str">
        <f>IF(A366="","",IF(Clean_Data!C366="","FAIL","PASS"))</f>
        <v/>
      </c>
      <c r="C366" s="16" t="str">
        <f>IF(A366="","",IF(AND(Clean_Data!C366&lt;&gt;"",Clean_Data!J366="NO"),"FAIL","PASS"))</f>
        <v/>
      </c>
      <c r="D366" s="16" t="str">
        <f>IF(A366="","",IF(Clean_Data!E366="","FAIL","PASS"))</f>
        <v/>
      </c>
      <c r="E366" s="16" t="str">
        <f>IF(A366="","",IF(Clean_Data!G366="","FAIL","PASS"))</f>
        <v/>
      </c>
      <c r="F366" s="16" t="str">
        <f>IF(A366="","",IF(Clean_Data!G366="","OK",IF(Clean_Data!G366&gt;16,"FLAG","OK")))</f>
        <v/>
      </c>
      <c r="G366" s="16" t="str">
        <f>IF(A366="","",IF(Clean_Data!H366="","FAIL","PASS"))</f>
        <v/>
      </c>
      <c r="H366" s="16" t="str">
        <f>IF(A366="","",IF(OR(Clean_Data!D366="",Clean_Data!K366="NO"),"FAIL","PASS"))</f>
        <v/>
      </c>
      <c r="I366" s="16" t="str">
        <f t="shared" si="15"/>
        <v/>
      </c>
      <c r="J366" s="17" t="str">
        <f t="shared" si="16"/>
        <v/>
      </c>
      <c r="K366" s="16" t="str">
        <f t="shared" si="17"/>
        <v/>
      </c>
    </row>
    <row r="367" spans="1:11" x14ac:dyDescent="0.35">
      <c r="A367" s="8" t="str">
        <f>Clean_Data!A367</f>
        <v/>
      </c>
      <c r="B367" s="16" t="str">
        <f>IF(A367="","",IF(Clean_Data!C367="","FAIL","PASS"))</f>
        <v/>
      </c>
      <c r="C367" s="16" t="str">
        <f>IF(A367="","",IF(AND(Clean_Data!C367&lt;&gt;"",Clean_Data!J367="NO"),"FAIL","PASS"))</f>
        <v/>
      </c>
      <c r="D367" s="16" t="str">
        <f>IF(A367="","",IF(Clean_Data!E367="","FAIL","PASS"))</f>
        <v/>
      </c>
      <c r="E367" s="16" t="str">
        <f>IF(A367="","",IF(Clean_Data!G367="","FAIL","PASS"))</f>
        <v/>
      </c>
      <c r="F367" s="16" t="str">
        <f>IF(A367="","",IF(Clean_Data!G367="","OK",IF(Clean_Data!G367&gt;16,"FLAG","OK")))</f>
        <v/>
      </c>
      <c r="G367" s="16" t="str">
        <f>IF(A367="","",IF(Clean_Data!H367="","FAIL","PASS"))</f>
        <v/>
      </c>
      <c r="H367" s="16" t="str">
        <f>IF(A367="","",IF(OR(Clean_Data!D367="",Clean_Data!K367="NO"),"FAIL","PASS"))</f>
        <v/>
      </c>
      <c r="I367" s="16" t="str">
        <f t="shared" si="15"/>
        <v/>
      </c>
      <c r="J367" s="17" t="str">
        <f t="shared" si="16"/>
        <v/>
      </c>
      <c r="K367" s="16" t="str">
        <f t="shared" si="17"/>
        <v/>
      </c>
    </row>
    <row r="368" spans="1:11" x14ac:dyDescent="0.35">
      <c r="A368" s="8" t="str">
        <f>Clean_Data!A368</f>
        <v/>
      </c>
      <c r="B368" s="16" t="str">
        <f>IF(A368="","",IF(Clean_Data!C368="","FAIL","PASS"))</f>
        <v/>
      </c>
      <c r="C368" s="16" t="str">
        <f>IF(A368="","",IF(AND(Clean_Data!C368&lt;&gt;"",Clean_Data!J368="NO"),"FAIL","PASS"))</f>
        <v/>
      </c>
      <c r="D368" s="16" t="str">
        <f>IF(A368="","",IF(Clean_Data!E368="","FAIL","PASS"))</f>
        <v/>
      </c>
      <c r="E368" s="16" t="str">
        <f>IF(A368="","",IF(Clean_Data!G368="","FAIL","PASS"))</f>
        <v/>
      </c>
      <c r="F368" s="16" t="str">
        <f>IF(A368="","",IF(Clean_Data!G368="","OK",IF(Clean_Data!G368&gt;16,"FLAG","OK")))</f>
        <v/>
      </c>
      <c r="G368" s="16" t="str">
        <f>IF(A368="","",IF(Clean_Data!H368="","FAIL","PASS"))</f>
        <v/>
      </c>
      <c r="H368" s="16" t="str">
        <f>IF(A368="","",IF(OR(Clean_Data!D368="",Clean_Data!K368="NO"),"FAIL","PASS"))</f>
        <v/>
      </c>
      <c r="I368" s="16" t="str">
        <f t="shared" si="15"/>
        <v/>
      </c>
      <c r="J368" s="17" t="str">
        <f t="shared" si="16"/>
        <v/>
      </c>
      <c r="K368" s="16" t="str">
        <f t="shared" si="17"/>
        <v/>
      </c>
    </row>
    <row r="369" spans="1:11" x14ac:dyDescent="0.35">
      <c r="A369" s="8" t="str">
        <f>Clean_Data!A369</f>
        <v/>
      </c>
      <c r="B369" s="16" t="str">
        <f>IF(A369="","",IF(Clean_Data!C369="","FAIL","PASS"))</f>
        <v/>
      </c>
      <c r="C369" s="16" t="str">
        <f>IF(A369="","",IF(AND(Clean_Data!C369&lt;&gt;"",Clean_Data!J369="NO"),"FAIL","PASS"))</f>
        <v/>
      </c>
      <c r="D369" s="16" t="str">
        <f>IF(A369="","",IF(Clean_Data!E369="","FAIL","PASS"))</f>
        <v/>
      </c>
      <c r="E369" s="16" t="str">
        <f>IF(A369="","",IF(Clean_Data!G369="","FAIL","PASS"))</f>
        <v/>
      </c>
      <c r="F369" s="16" t="str">
        <f>IF(A369="","",IF(Clean_Data!G369="","OK",IF(Clean_Data!G369&gt;16,"FLAG","OK")))</f>
        <v/>
      </c>
      <c r="G369" s="16" t="str">
        <f>IF(A369="","",IF(Clean_Data!H369="","FAIL","PASS"))</f>
        <v/>
      </c>
      <c r="H369" s="16" t="str">
        <f>IF(A369="","",IF(OR(Clean_Data!D369="",Clean_Data!K369="NO"),"FAIL","PASS"))</f>
        <v/>
      </c>
      <c r="I369" s="16" t="str">
        <f t="shared" si="15"/>
        <v/>
      </c>
      <c r="J369" s="17" t="str">
        <f t="shared" si="16"/>
        <v/>
      </c>
      <c r="K369" s="16" t="str">
        <f t="shared" si="17"/>
        <v/>
      </c>
    </row>
    <row r="370" spans="1:11" x14ac:dyDescent="0.35">
      <c r="A370" s="8" t="str">
        <f>Clean_Data!A370</f>
        <v/>
      </c>
      <c r="B370" s="16" t="str">
        <f>IF(A370="","",IF(Clean_Data!C370="","FAIL","PASS"))</f>
        <v/>
      </c>
      <c r="C370" s="16" t="str">
        <f>IF(A370="","",IF(AND(Clean_Data!C370&lt;&gt;"",Clean_Data!J370="NO"),"FAIL","PASS"))</f>
        <v/>
      </c>
      <c r="D370" s="16" t="str">
        <f>IF(A370="","",IF(Clean_Data!E370="","FAIL","PASS"))</f>
        <v/>
      </c>
      <c r="E370" s="16" t="str">
        <f>IF(A370="","",IF(Clean_Data!G370="","FAIL","PASS"))</f>
        <v/>
      </c>
      <c r="F370" s="16" t="str">
        <f>IF(A370="","",IF(Clean_Data!G370="","OK",IF(Clean_Data!G370&gt;16,"FLAG","OK")))</f>
        <v/>
      </c>
      <c r="G370" s="16" t="str">
        <f>IF(A370="","",IF(Clean_Data!H370="","FAIL","PASS"))</f>
        <v/>
      </c>
      <c r="H370" s="16" t="str">
        <f>IF(A370="","",IF(OR(Clean_Data!D370="",Clean_Data!K370="NO"),"FAIL","PASS"))</f>
        <v/>
      </c>
      <c r="I370" s="16" t="str">
        <f t="shared" si="15"/>
        <v/>
      </c>
      <c r="J370" s="17" t="str">
        <f t="shared" si="16"/>
        <v/>
      </c>
      <c r="K370" s="16" t="str">
        <f t="shared" si="17"/>
        <v/>
      </c>
    </row>
    <row r="371" spans="1:11" x14ac:dyDescent="0.35">
      <c r="A371" s="8" t="str">
        <f>Clean_Data!A371</f>
        <v/>
      </c>
      <c r="B371" s="16" t="str">
        <f>IF(A371="","",IF(Clean_Data!C371="","FAIL","PASS"))</f>
        <v/>
      </c>
      <c r="C371" s="16" t="str">
        <f>IF(A371="","",IF(AND(Clean_Data!C371&lt;&gt;"",Clean_Data!J371="NO"),"FAIL","PASS"))</f>
        <v/>
      </c>
      <c r="D371" s="16" t="str">
        <f>IF(A371="","",IF(Clean_Data!E371="","FAIL","PASS"))</f>
        <v/>
      </c>
      <c r="E371" s="16" t="str">
        <f>IF(A371="","",IF(Clean_Data!G371="","FAIL","PASS"))</f>
        <v/>
      </c>
      <c r="F371" s="16" t="str">
        <f>IF(A371="","",IF(Clean_Data!G371="","OK",IF(Clean_Data!G371&gt;16,"FLAG","OK")))</f>
        <v/>
      </c>
      <c r="G371" s="16" t="str">
        <f>IF(A371="","",IF(Clean_Data!H371="","FAIL","PASS"))</f>
        <v/>
      </c>
      <c r="H371" s="16" t="str">
        <f>IF(A371="","",IF(OR(Clean_Data!D371="",Clean_Data!K371="NO"),"FAIL","PASS"))</f>
        <v/>
      </c>
      <c r="I371" s="16" t="str">
        <f t="shared" si="15"/>
        <v/>
      </c>
      <c r="J371" s="17" t="str">
        <f t="shared" si="16"/>
        <v/>
      </c>
      <c r="K371" s="16" t="str">
        <f t="shared" si="17"/>
        <v/>
      </c>
    </row>
    <row r="372" spans="1:11" x14ac:dyDescent="0.35">
      <c r="A372" s="8" t="str">
        <f>Clean_Data!A372</f>
        <v/>
      </c>
      <c r="B372" s="16" t="str">
        <f>IF(A372="","",IF(Clean_Data!C372="","FAIL","PASS"))</f>
        <v/>
      </c>
      <c r="C372" s="16" t="str">
        <f>IF(A372="","",IF(AND(Clean_Data!C372&lt;&gt;"",Clean_Data!J372="NO"),"FAIL","PASS"))</f>
        <v/>
      </c>
      <c r="D372" s="16" t="str">
        <f>IF(A372="","",IF(Clean_Data!E372="","FAIL","PASS"))</f>
        <v/>
      </c>
      <c r="E372" s="16" t="str">
        <f>IF(A372="","",IF(Clean_Data!G372="","FAIL","PASS"))</f>
        <v/>
      </c>
      <c r="F372" s="16" t="str">
        <f>IF(A372="","",IF(Clean_Data!G372="","OK",IF(Clean_Data!G372&gt;16,"FLAG","OK")))</f>
        <v/>
      </c>
      <c r="G372" s="16" t="str">
        <f>IF(A372="","",IF(Clean_Data!H372="","FAIL","PASS"))</f>
        <v/>
      </c>
      <c r="H372" s="16" t="str">
        <f>IF(A372="","",IF(OR(Clean_Data!D372="",Clean_Data!K372="NO"),"FAIL","PASS"))</f>
        <v/>
      </c>
      <c r="I372" s="16" t="str">
        <f t="shared" si="15"/>
        <v/>
      </c>
      <c r="J372" s="17" t="str">
        <f t="shared" si="16"/>
        <v/>
      </c>
      <c r="K372" s="16" t="str">
        <f t="shared" si="17"/>
        <v/>
      </c>
    </row>
    <row r="373" spans="1:11" x14ac:dyDescent="0.35">
      <c r="A373" s="8" t="str">
        <f>Clean_Data!A373</f>
        <v/>
      </c>
      <c r="B373" s="16" t="str">
        <f>IF(A373="","",IF(Clean_Data!C373="","FAIL","PASS"))</f>
        <v/>
      </c>
      <c r="C373" s="16" t="str">
        <f>IF(A373="","",IF(AND(Clean_Data!C373&lt;&gt;"",Clean_Data!J373="NO"),"FAIL","PASS"))</f>
        <v/>
      </c>
      <c r="D373" s="16" t="str">
        <f>IF(A373="","",IF(Clean_Data!E373="","FAIL","PASS"))</f>
        <v/>
      </c>
      <c r="E373" s="16" t="str">
        <f>IF(A373="","",IF(Clean_Data!G373="","FAIL","PASS"))</f>
        <v/>
      </c>
      <c r="F373" s="16" t="str">
        <f>IF(A373="","",IF(Clean_Data!G373="","OK",IF(Clean_Data!G373&gt;16,"FLAG","OK")))</f>
        <v/>
      </c>
      <c r="G373" s="16" t="str">
        <f>IF(A373="","",IF(Clean_Data!H373="","FAIL","PASS"))</f>
        <v/>
      </c>
      <c r="H373" s="16" t="str">
        <f>IF(A373="","",IF(OR(Clean_Data!D373="",Clean_Data!K373="NO"),"FAIL","PASS"))</f>
        <v/>
      </c>
      <c r="I373" s="16" t="str">
        <f t="shared" si="15"/>
        <v/>
      </c>
      <c r="J373" s="17" t="str">
        <f t="shared" si="16"/>
        <v/>
      </c>
      <c r="K373" s="16" t="str">
        <f t="shared" si="17"/>
        <v/>
      </c>
    </row>
    <row r="374" spans="1:11" x14ac:dyDescent="0.35">
      <c r="A374" s="8" t="str">
        <f>Clean_Data!A374</f>
        <v/>
      </c>
      <c r="B374" s="16" t="str">
        <f>IF(A374="","",IF(Clean_Data!C374="","FAIL","PASS"))</f>
        <v/>
      </c>
      <c r="C374" s="16" t="str">
        <f>IF(A374="","",IF(AND(Clean_Data!C374&lt;&gt;"",Clean_Data!J374="NO"),"FAIL","PASS"))</f>
        <v/>
      </c>
      <c r="D374" s="16" t="str">
        <f>IF(A374="","",IF(Clean_Data!E374="","FAIL","PASS"))</f>
        <v/>
      </c>
      <c r="E374" s="16" t="str">
        <f>IF(A374="","",IF(Clean_Data!G374="","FAIL","PASS"))</f>
        <v/>
      </c>
      <c r="F374" s="16" t="str">
        <f>IF(A374="","",IF(Clean_Data!G374="","OK",IF(Clean_Data!G374&gt;16,"FLAG","OK")))</f>
        <v/>
      </c>
      <c r="G374" s="16" t="str">
        <f>IF(A374="","",IF(Clean_Data!H374="","FAIL","PASS"))</f>
        <v/>
      </c>
      <c r="H374" s="16" t="str">
        <f>IF(A374="","",IF(OR(Clean_Data!D374="",Clean_Data!K374="NO"),"FAIL","PASS"))</f>
        <v/>
      </c>
      <c r="I374" s="16" t="str">
        <f t="shared" si="15"/>
        <v/>
      </c>
      <c r="J374" s="17" t="str">
        <f t="shared" si="16"/>
        <v/>
      </c>
      <c r="K374" s="16" t="str">
        <f t="shared" si="17"/>
        <v/>
      </c>
    </row>
    <row r="375" spans="1:11" x14ac:dyDescent="0.35">
      <c r="A375" s="8" t="str">
        <f>Clean_Data!A375</f>
        <v/>
      </c>
      <c r="B375" s="16" t="str">
        <f>IF(A375="","",IF(Clean_Data!C375="","FAIL","PASS"))</f>
        <v/>
      </c>
      <c r="C375" s="16" t="str">
        <f>IF(A375="","",IF(AND(Clean_Data!C375&lt;&gt;"",Clean_Data!J375="NO"),"FAIL","PASS"))</f>
        <v/>
      </c>
      <c r="D375" s="16" t="str">
        <f>IF(A375="","",IF(Clean_Data!E375="","FAIL","PASS"))</f>
        <v/>
      </c>
      <c r="E375" s="16" t="str">
        <f>IF(A375="","",IF(Clean_Data!G375="","FAIL","PASS"))</f>
        <v/>
      </c>
      <c r="F375" s="16" t="str">
        <f>IF(A375="","",IF(Clean_Data!G375="","OK",IF(Clean_Data!G375&gt;16,"FLAG","OK")))</f>
        <v/>
      </c>
      <c r="G375" s="16" t="str">
        <f>IF(A375="","",IF(Clean_Data!H375="","FAIL","PASS"))</f>
        <v/>
      </c>
      <c r="H375" s="16" t="str">
        <f>IF(A375="","",IF(OR(Clean_Data!D375="",Clean_Data!K375="NO"),"FAIL","PASS"))</f>
        <v/>
      </c>
      <c r="I375" s="16" t="str">
        <f t="shared" si="15"/>
        <v/>
      </c>
      <c r="J375" s="17" t="str">
        <f t="shared" si="16"/>
        <v/>
      </c>
      <c r="K375" s="16" t="str">
        <f t="shared" si="17"/>
        <v/>
      </c>
    </row>
    <row r="376" spans="1:11" x14ac:dyDescent="0.35">
      <c r="A376" s="8" t="str">
        <f>Clean_Data!A376</f>
        <v/>
      </c>
      <c r="B376" s="16" t="str">
        <f>IF(A376="","",IF(Clean_Data!C376="","FAIL","PASS"))</f>
        <v/>
      </c>
      <c r="C376" s="16" t="str">
        <f>IF(A376="","",IF(AND(Clean_Data!C376&lt;&gt;"",Clean_Data!J376="NO"),"FAIL","PASS"))</f>
        <v/>
      </c>
      <c r="D376" s="16" t="str">
        <f>IF(A376="","",IF(Clean_Data!E376="","FAIL","PASS"))</f>
        <v/>
      </c>
      <c r="E376" s="16" t="str">
        <f>IF(A376="","",IF(Clean_Data!G376="","FAIL","PASS"))</f>
        <v/>
      </c>
      <c r="F376" s="16" t="str">
        <f>IF(A376="","",IF(Clean_Data!G376="","OK",IF(Clean_Data!G376&gt;16,"FLAG","OK")))</f>
        <v/>
      </c>
      <c r="G376" s="16" t="str">
        <f>IF(A376="","",IF(Clean_Data!H376="","FAIL","PASS"))</f>
        <v/>
      </c>
      <c r="H376" s="16" t="str">
        <f>IF(A376="","",IF(OR(Clean_Data!D376="",Clean_Data!K376="NO"),"FAIL","PASS"))</f>
        <v/>
      </c>
      <c r="I376" s="16" t="str">
        <f t="shared" si="15"/>
        <v/>
      </c>
      <c r="J376" s="17" t="str">
        <f t="shared" si="16"/>
        <v/>
      </c>
      <c r="K376" s="16" t="str">
        <f t="shared" si="17"/>
        <v/>
      </c>
    </row>
    <row r="377" spans="1:11" x14ac:dyDescent="0.35">
      <c r="A377" s="8" t="str">
        <f>Clean_Data!A377</f>
        <v/>
      </c>
      <c r="B377" s="16" t="str">
        <f>IF(A377="","",IF(Clean_Data!C377="","FAIL","PASS"))</f>
        <v/>
      </c>
      <c r="C377" s="16" t="str">
        <f>IF(A377="","",IF(AND(Clean_Data!C377&lt;&gt;"",Clean_Data!J377="NO"),"FAIL","PASS"))</f>
        <v/>
      </c>
      <c r="D377" s="16" t="str">
        <f>IF(A377="","",IF(Clean_Data!E377="","FAIL","PASS"))</f>
        <v/>
      </c>
      <c r="E377" s="16" t="str">
        <f>IF(A377="","",IF(Clean_Data!G377="","FAIL","PASS"))</f>
        <v/>
      </c>
      <c r="F377" s="16" t="str">
        <f>IF(A377="","",IF(Clean_Data!G377="","OK",IF(Clean_Data!G377&gt;16,"FLAG","OK")))</f>
        <v/>
      </c>
      <c r="G377" s="16" t="str">
        <f>IF(A377="","",IF(Clean_Data!H377="","FAIL","PASS"))</f>
        <v/>
      </c>
      <c r="H377" s="16" t="str">
        <f>IF(A377="","",IF(OR(Clean_Data!D377="",Clean_Data!K377="NO"),"FAIL","PASS"))</f>
        <v/>
      </c>
      <c r="I377" s="16" t="str">
        <f t="shared" si="15"/>
        <v/>
      </c>
      <c r="J377" s="17" t="str">
        <f t="shared" si="16"/>
        <v/>
      </c>
      <c r="K377" s="16" t="str">
        <f t="shared" si="17"/>
        <v/>
      </c>
    </row>
    <row r="378" spans="1:11" x14ac:dyDescent="0.35">
      <c r="A378" s="8" t="str">
        <f>Clean_Data!A378</f>
        <v/>
      </c>
      <c r="B378" s="16" t="str">
        <f>IF(A378="","",IF(Clean_Data!C378="","FAIL","PASS"))</f>
        <v/>
      </c>
      <c r="C378" s="16" t="str">
        <f>IF(A378="","",IF(AND(Clean_Data!C378&lt;&gt;"",Clean_Data!J378="NO"),"FAIL","PASS"))</f>
        <v/>
      </c>
      <c r="D378" s="16" t="str">
        <f>IF(A378="","",IF(Clean_Data!E378="","FAIL","PASS"))</f>
        <v/>
      </c>
      <c r="E378" s="16" t="str">
        <f>IF(A378="","",IF(Clean_Data!G378="","FAIL","PASS"))</f>
        <v/>
      </c>
      <c r="F378" s="16" t="str">
        <f>IF(A378="","",IF(Clean_Data!G378="","OK",IF(Clean_Data!G378&gt;16,"FLAG","OK")))</f>
        <v/>
      </c>
      <c r="G378" s="16" t="str">
        <f>IF(A378="","",IF(Clean_Data!H378="","FAIL","PASS"))</f>
        <v/>
      </c>
      <c r="H378" s="16" t="str">
        <f>IF(A378="","",IF(OR(Clean_Data!D378="",Clean_Data!K378="NO"),"FAIL","PASS"))</f>
        <v/>
      </c>
      <c r="I378" s="16" t="str">
        <f t="shared" si="15"/>
        <v/>
      </c>
      <c r="J378" s="17" t="str">
        <f t="shared" si="16"/>
        <v/>
      </c>
      <c r="K378" s="16" t="str">
        <f t="shared" si="17"/>
        <v/>
      </c>
    </row>
    <row r="379" spans="1:11" x14ac:dyDescent="0.35">
      <c r="A379" s="8" t="str">
        <f>Clean_Data!A379</f>
        <v/>
      </c>
      <c r="B379" s="16" t="str">
        <f>IF(A379="","",IF(Clean_Data!C379="","FAIL","PASS"))</f>
        <v/>
      </c>
      <c r="C379" s="16" t="str">
        <f>IF(A379="","",IF(AND(Clean_Data!C379&lt;&gt;"",Clean_Data!J379="NO"),"FAIL","PASS"))</f>
        <v/>
      </c>
      <c r="D379" s="16" t="str">
        <f>IF(A379="","",IF(Clean_Data!E379="","FAIL","PASS"))</f>
        <v/>
      </c>
      <c r="E379" s="16" t="str">
        <f>IF(A379="","",IF(Clean_Data!G379="","FAIL","PASS"))</f>
        <v/>
      </c>
      <c r="F379" s="16" t="str">
        <f>IF(A379="","",IF(Clean_Data!G379="","OK",IF(Clean_Data!G379&gt;16,"FLAG","OK")))</f>
        <v/>
      </c>
      <c r="G379" s="16" t="str">
        <f>IF(A379="","",IF(Clean_Data!H379="","FAIL","PASS"))</f>
        <v/>
      </c>
      <c r="H379" s="16" t="str">
        <f>IF(A379="","",IF(OR(Clean_Data!D379="",Clean_Data!K379="NO"),"FAIL","PASS"))</f>
        <v/>
      </c>
      <c r="I379" s="16" t="str">
        <f t="shared" si="15"/>
        <v/>
      </c>
      <c r="J379" s="17" t="str">
        <f t="shared" si="16"/>
        <v/>
      </c>
      <c r="K379" s="16" t="str">
        <f t="shared" si="17"/>
        <v/>
      </c>
    </row>
    <row r="380" spans="1:11" x14ac:dyDescent="0.35">
      <c r="A380" s="8" t="str">
        <f>Clean_Data!A380</f>
        <v/>
      </c>
      <c r="B380" s="16" t="str">
        <f>IF(A380="","",IF(Clean_Data!C380="","FAIL","PASS"))</f>
        <v/>
      </c>
      <c r="C380" s="16" t="str">
        <f>IF(A380="","",IF(AND(Clean_Data!C380&lt;&gt;"",Clean_Data!J380="NO"),"FAIL","PASS"))</f>
        <v/>
      </c>
      <c r="D380" s="16" t="str">
        <f>IF(A380="","",IF(Clean_Data!E380="","FAIL","PASS"))</f>
        <v/>
      </c>
      <c r="E380" s="16" t="str">
        <f>IF(A380="","",IF(Clean_Data!G380="","FAIL","PASS"))</f>
        <v/>
      </c>
      <c r="F380" s="16" t="str">
        <f>IF(A380="","",IF(Clean_Data!G380="","OK",IF(Clean_Data!G380&gt;16,"FLAG","OK")))</f>
        <v/>
      </c>
      <c r="G380" s="16" t="str">
        <f>IF(A380="","",IF(Clean_Data!H380="","FAIL","PASS"))</f>
        <v/>
      </c>
      <c r="H380" s="16" t="str">
        <f>IF(A380="","",IF(OR(Clean_Data!D380="",Clean_Data!K380="NO"),"FAIL","PASS"))</f>
        <v/>
      </c>
      <c r="I380" s="16" t="str">
        <f t="shared" si="15"/>
        <v/>
      </c>
      <c r="J380" s="17" t="str">
        <f t="shared" si="16"/>
        <v/>
      </c>
      <c r="K380" s="16" t="str">
        <f t="shared" si="17"/>
        <v/>
      </c>
    </row>
    <row r="381" spans="1:11" x14ac:dyDescent="0.35">
      <c r="A381" s="8" t="str">
        <f>Clean_Data!A381</f>
        <v/>
      </c>
      <c r="B381" s="16" t="str">
        <f>IF(A381="","",IF(Clean_Data!C381="","FAIL","PASS"))</f>
        <v/>
      </c>
      <c r="C381" s="16" t="str">
        <f>IF(A381="","",IF(AND(Clean_Data!C381&lt;&gt;"",Clean_Data!J381="NO"),"FAIL","PASS"))</f>
        <v/>
      </c>
      <c r="D381" s="16" t="str">
        <f>IF(A381="","",IF(Clean_Data!E381="","FAIL","PASS"))</f>
        <v/>
      </c>
      <c r="E381" s="16" t="str">
        <f>IF(A381="","",IF(Clean_Data!G381="","FAIL","PASS"))</f>
        <v/>
      </c>
      <c r="F381" s="16" t="str">
        <f>IF(A381="","",IF(Clean_Data!G381="","OK",IF(Clean_Data!G381&gt;16,"FLAG","OK")))</f>
        <v/>
      </c>
      <c r="G381" s="16" t="str">
        <f>IF(A381="","",IF(Clean_Data!H381="","FAIL","PASS"))</f>
        <v/>
      </c>
      <c r="H381" s="16" t="str">
        <f>IF(A381="","",IF(OR(Clean_Data!D381="",Clean_Data!K381="NO"),"FAIL","PASS"))</f>
        <v/>
      </c>
      <c r="I381" s="16" t="str">
        <f t="shared" si="15"/>
        <v/>
      </c>
      <c r="J381" s="17" t="str">
        <f t="shared" si="16"/>
        <v/>
      </c>
      <c r="K381" s="16" t="str">
        <f t="shared" si="17"/>
        <v/>
      </c>
    </row>
    <row r="382" spans="1:11" x14ac:dyDescent="0.35">
      <c r="A382" s="8" t="str">
        <f>Clean_Data!A382</f>
        <v/>
      </c>
      <c r="B382" s="16" t="str">
        <f>IF(A382="","",IF(Clean_Data!C382="","FAIL","PASS"))</f>
        <v/>
      </c>
      <c r="C382" s="16" t="str">
        <f>IF(A382="","",IF(AND(Clean_Data!C382&lt;&gt;"",Clean_Data!J382="NO"),"FAIL","PASS"))</f>
        <v/>
      </c>
      <c r="D382" s="16" t="str">
        <f>IF(A382="","",IF(Clean_Data!E382="","FAIL","PASS"))</f>
        <v/>
      </c>
      <c r="E382" s="16" t="str">
        <f>IF(A382="","",IF(Clean_Data!G382="","FAIL","PASS"))</f>
        <v/>
      </c>
      <c r="F382" s="16" t="str">
        <f>IF(A382="","",IF(Clean_Data!G382="","OK",IF(Clean_Data!G382&gt;16,"FLAG","OK")))</f>
        <v/>
      </c>
      <c r="G382" s="16" t="str">
        <f>IF(A382="","",IF(Clean_Data!H382="","FAIL","PASS"))</f>
        <v/>
      </c>
      <c r="H382" s="16" t="str">
        <f>IF(A382="","",IF(OR(Clean_Data!D382="",Clean_Data!K382="NO"),"FAIL","PASS"))</f>
        <v/>
      </c>
      <c r="I382" s="16" t="str">
        <f t="shared" si="15"/>
        <v/>
      </c>
      <c r="J382" s="17" t="str">
        <f t="shared" si="16"/>
        <v/>
      </c>
      <c r="K382" s="16" t="str">
        <f t="shared" si="17"/>
        <v/>
      </c>
    </row>
    <row r="383" spans="1:11" x14ac:dyDescent="0.35">
      <c r="A383" s="8" t="str">
        <f>Clean_Data!A383</f>
        <v/>
      </c>
      <c r="B383" s="16" t="str">
        <f>IF(A383="","",IF(Clean_Data!C383="","FAIL","PASS"))</f>
        <v/>
      </c>
      <c r="C383" s="16" t="str">
        <f>IF(A383="","",IF(AND(Clean_Data!C383&lt;&gt;"",Clean_Data!J383="NO"),"FAIL","PASS"))</f>
        <v/>
      </c>
      <c r="D383" s="16" t="str">
        <f>IF(A383="","",IF(Clean_Data!E383="","FAIL","PASS"))</f>
        <v/>
      </c>
      <c r="E383" s="16" t="str">
        <f>IF(A383="","",IF(Clean_Data!G383="","FAIL","PASS"))</f>
        <v/>
      </c>
      <c r="F383" s="16" t="str">
        <f>IF(A383="","",IF(Clean_Data!G383="","OK",IF(Clean_Data!G383&gt;16,"FLAG","OK")))</f>
        <v/>
      </c>
      <c r="G383" s="16" t="str">
        <f>IF(A383="","",IF(Clean_Data!H383="","FAIL","PASS"))</f>
        <v/>
      </c>
      <c r="H383" s="16" t="str">
        <f>IF(A383="","",IF(OR(Clean_Data!D383="",Clean_Data!K383="NO"),"FAIL","PASS"))</f>
        <v/>
      </c>
      <c r="I383" s="16" t="str">
        <f t="shared" si="15"/>
        <v/>
      </c>
      <c r="J383" s="17" t="str">
        <f t="shared" si="16"/>
        <v/>
      </c>
      <c r="K383" s="16" t="str">
        <f t="shared" si="17"/>
        <v/>
      </c>
    </row>
    <row r="384" spans="1:11" x14ac:dyDescent="0.35">
      <c r="A384" s="8" t="str">
        <f>Clean_Data!A384</f>
        <v/>
      </c>
      <c r="B384" s="16" t="str">
        <f>IF(A384="","",IF(Clean_Data!C384="","FAIL","PASS"))</f>
        <v/>
      </c>
      <c r="C384" s="16" t="str">
        <f>IF(A384="","",IF(AND(Clean_Data!C384&lt;&gt;"",Clean_Data!J384="NO"),"FAIL","PASS"))</f>
        <v/>
      </c>
      <c r="D384" s="16" t="str">
        <f>IF(A384="","",IF(Clean_Data!E384="","FAIL","PASS"))</f>
        <v/>
      </c>
      <c r="E384" s="16" t="str">
        <f>IF(A384="","",IF(Clean_Data!G384="","FAIL","PASS"))</f>
        <v/>
      </c>
      <c r="F384" s="16" t="str">
        <f>IF(A384="","",IF(Clean_Data!G384="","OK",IF(Clean_Data!G384&gt;16,"FLAG","OK")))</f>
        <v/>
      </c>
      <c r="G384" s="16" t="str">
        <f>IF(A384="","",IF(Clean_Data!H384="","FAIL","PASS"))</f>
        <v/>
      </c>
      <c r="H384" s="16" t="str">
        <f>IF(A384="","",IF(OR(Clean_Data!D384="",Clean_Data!K384="NO"),"FAIL","PASS"))</f>
        <v/>
      </c>
      <c r="I384" s="16" t="str">
        <f t="shared" si="15"/>
        <v/>
      </c>
      <c r="J384" s="17" t="str">
        <f t="shared" si="16"/>
        <v/>
      </c>
      <c r="K384" s="16" t="str">
        <f t="shared" si="17"/>
        <v/>
      </c>
    </row>
    <row r="385" spans="1:11" x14ac:dyDescent="0.35">
      <c r="A385" s="8" t="str">
        <f>Clean_Data!A385</f>
        <v/>
      </c>
      <c r="B385" s="16" t="str">
        <f>IF(A385="","",IF(Clean_Data!C385="","FAIL","PASS"))</f>
        <v/>
      </c>
      <c r="C385" s="16" t="str">
        <f>IF(A385="","",IF(AND(Clean_Data!C385&lt;&gt;"",Clean_Data!J385="NO"),"FAIL","PASS"))</f>
        <v/>
      </c>
      <c r="D385" s="16" t="str">
        <f>IF(A385="","",IF(Clean_Data!E385="","FAIL","PASS"))</f>
        <v/>
      </c>
      <c r="E385" s="16" t="str">
        <f>IF(A385="","",IF(Clean_Data!G385="","FAIL","PASS"))</f>
        <v/>
      </c>
      <c r="F385" s="16" t="str">
        <f>IF(A385="","",IF(Clean_Data!G385="","OK",IF(Clean_Data!G385&gt;16,"FLAG","OK")))</f>
        <v/>
      </c>
      <c r="G385" s="16" t="str">
        <f>IF(A385="","",IF(Clean_Data!H385="","FAIL","PASS"))</f>
        <v/>
      </c>
      <c r="H385" s="16" t="str">
        <f>IF(A385="","",IF(OR(Clean_Data!D385="",Clean_Data!K385="NO"),"FAIL","PASS"))</f>
        <v/>
      </c>
      <c r="I385" s="16" t="str">
        <f t="shared" si="15"/>
        <v/>
      </c>
      <c r="J385" s="17" t="str">
        <f t="shared" si="16"/>
        <v/>
      </c>
      <c r="K385" s="16" t="str">
        <f t="shared" si="17"/>
        <v/>
      </c>
    </row>
    <row r="386" spans="1:11" x14ac:dyDescent="0.35">
      <c r="A386" s="8" t="str">
        <f>Clean_Data!A386</f>
        <v/>
      </c>
      <c r="B386" s="16" t="str">
        <f>IF(A386="","",IF(Clean_Data!C386="","FAIL","PASS"))</f>
        <v/>
      </c>
      <c r="C386" s="16" t="str">
        <f>IF(A386="","",IF(AND(Clean_Data!C386&lt;&gt;"",Clean_Data!J386="NO"),"FAIL","PASS"))</f>
        <v/>
      </c>
      <c r="D386" s="16" t="str">
        <f>IF(A386="","",IF(Clean_Data!E386="","FAIL","PASS"))</f>
        <v/>
      </c>
      <c r="E386" s="16" t="str">
        <f>IF(A386="","",IF(Clean_Data!G386="","FAIL","PASS"))</f>
        <v/>
      </c>
      <c r="F386" s="16" t="str">
        <f>IF(A386="","",IF(Clean_Data!G386="","OK",IF(Clean_Data!G386&gt;16,"FLAG","OK")))</f>
        <v/>
      </c>
      <c r="G386" s="16" t="str">
        <f>IF(A386="","",IF(Clean_Data!H386="","FAIL","PASS"))</f>
        <v/>
      </c>
      <c r="H386" s="16" t="str">
        <f>IF(A386="","",IF(OR(Clean_Data!D386="",Clean_Data!K386="NO"),"FAIL","PASS"))</f>
        <v/>
      </c>
      <c r="I386" s="16" t="str">
        <f t="shared" si="15"/>
        <v/>
      </c>
      <c r="J386" s="17" t="str">
        <f t="shared" si="16"/>
        <v/>
      </c>
      <c r="K386" s="16" t="str">
        <f t="shared" si="17"/>
        <v/>
      </c>
    </row>
    <row r="387" spans="1:11" x14ac:dyDescent="0.35">
      <c r="A387" s="8" t="str">
        <f>Clean_Data!A387</f>
        <v/>
      </c>
      <c r="B387" s="16" t="str">
        <f>IF(A387="","",IF(Clean_Data!C387="","FAIL","PASS"))</f>
        <v/>
      </c>
      <c r="C387" s="16" t="str">
        <f>IF(A387="","",IF(AND(Clean_Data!C387&lt;&gt;"",Clean_Data!J387="NO"),"FAIL","PASS"))</f>
        <v/>
      </c>
      <c r="D387" s="16" t="str">
        <f>IF(A387="","",IF(Clean_Data!E387="","FAIL","PASS"))</f>
        <v/>
      </c>
      <c r="E387" s="16" t="str">
        <f>IF(A387="","",IF(Clean_Data!G387="","FAIL","PASS"))</f>
        <v/>
      </c>
      <c r="F387" s="16" t="str">
        <f>IF(A387="","",IF(Clean_Data!G387="","OK",IF(Clean_Data!G387&gt;16,"FLAG","OK")))</f>
        <v/>
      </c>
      <c r="G387" s="16" t="str">
        <f>IF(A387="","",IF(Clean_Data!H387="","FAIL","PASS"))</f>
        <v/>
      </c>
      <c r="H387" s="16" t="str">
        <f>IF(A387="","",IF(OR(Clean_Data!D387="",Clean_Data!K387="NO"),"FAIL","PASS"))</f>
        <v/>
      </c>
      <c r="I387" s="16" t="str">
        <f t="shared" si="15"/>
        <v/>
      </c>
      <c r="J387" s="17" t="str">
        <f t="shared" si="16"/>
        <v/>
      </c>
      <c r="K387" s="16" t="str">
        <f t="shared" si="17"/>
        <v/>
      </c>
    </row>
    <row r="388" spans="1:11" x14ac:dyDescent="0.35">
      <c r="A388" s="8" t="str">
        <f>Clean_Data!A388</f>
        <v/>
      </c>
      <c r="B388" s="16" t="str">
        <f>IF(A388="","",IF(Clean_Data!C388="","FAIL","PASS"))</f>
        <v/>
      </c>
      <c r="C388" s="16" t="str">
        <f>IF(A388="","",IF(AND(Clean_Data!C388&lt;&gt;"",Clean_Data!J388="NO"),"FAIL","PASS"))</f>
        <v/>
      </c>
      <c r="D388" s="16" t="str">
        <f>IF(A388="","",IF(Clean_Data!E388="","FAIL","PASS"))</f>
        <v/>
      </c>
      <c r="E388" s="16" t="str">
        <f>IF(A388="","",IF(Clean_Data!G388="","FAIL","PASS"))</f>
        <v/>
      </c>
      <c r="F388" s="16" t="str">
        <f>IF(A388="","",IF(Clean_Data!G388="","OK",IF(Clean_Data!G388&gt;16,"FLAG","OK")))</f>
        <v/>
      </c>
      <c r="G388" s="16" t="str">
        <f>IF(A388="","",IF(Clean_Data!H388="","FAIL","PASS"))</f>
        <v/>
      </c>
      <c r="H388" s="16" t="str">
        <f>IF(A388="","",IF(OR(Clean_Data!D388="",Clean_Data!K388="NO"),"FAIL","PASS"))</f>
        <v/>
      </c>
      <c r="I388" s="16" t="str">
        <f t="shared" ref="I388:I451" si="18">IF(A388="","",IF(COUNTIF(B388:H388,"FAIL")&gt;0,"ERROR",IF(COUNTIF(B388:H388,"FLAG")&gt;0,"REVIEW","OK")))</f>
        <v/>
      </c>
      <c r="J388" s="17" t="str">
        <f t="shared" ref="J388:J451" si="19">IF(A388="","",IF(B388="FAIL",300,0)+IF(C388="FAIL",350,0)+IF(D388="FAIL",250,0)+IF(E388="FAIL",400,0)+IF(F388="FLAG",150,0)+IF(G388="FAIL",200,0)+IF(H388="FAIL",200,0))</f>
        <v/>
      </c>
      <c r="K388" s="16" t="str">
        <f t="shared" ref="K388:K451" si="20">IF(A388="","",IF(B388="FAIL","Missing name",IF(C388="FAIL","Unknown lineman",IF(D388="FAIL","Missing job",IF(E388="FAIL","Invalid hours",IF(F388="FLAG","Hours outlier",IF(G388="FAIL","Missing area",IF(H388="FAIL","Missing foreman","OK"))))))))</f>
        <v/>
      </c>
    </row>
    <row r="389" spans="1:11" x14ac:dyDescent="0.35">
      <c r="A389" s="8" t="str">
        <f>Clean_Data!A389</f>
        <v/>
      </c>
      <c r="B389" s="16" t="str">
        <f>IF(A389="","",IF(Clean_Data!C389="","FAIL","PASS"))</f>
        <v/>
      </c>
      <c r="C389" s="16" t="str">
        <f>IF(A389="","",IF(AND(Clean_Data!C389&lt;&gt;"",Clean_Data!J389="NO"),"FAIL","PASS"))</f>
        <v/>
      </c>
      <c r="D389" s="16" t="str">
        <f>IF(A389="","",IF(Clean_Data!E389="","FAIL","PASS"))</f>
        <v/>
      </c>
      <c r="E389" s="16" t="str">
        <f>IF(A389="","",IF(Clean_Data!G389="","FAIL","PASS"))</f>
        <v/>
      </c>
      <c r="F389" s="16" t="str">
        <f>IF(A389="","",IF(Clean_Data!G389="","OK",IF(Clean_Data!G389&gt;16,"FLAG","OK")))</f>
        <v/>
      </c>
      <c r="G389" s="16" t="str">
        <f>IF(A389="","",IF(Clean_Data!H389="","FAIL","PASS"))</f>
        <v/>
      </c>
      <c r="H389" s="16" t="str">
        <f>IF(A389="","",IF(OR(Clean_Data!D389="",Clean_Data!K389="NO"),"FAIL","PASS"))</f>
        <v/>
      </c>
      <c r="I389" s="16" t="str">
        <f t="shared" si="18"/>
        <v/>
      </c>
      <c r="J389" s="17" t="str">
        <f t="shared" si="19"/>
        <v/>
      </c>
      <c r="K389" s="16" t="str">
        <f t="shared" si="20"/>
        <v/>
      </c>
    </row>
    <row r="390" spans="1:11" x14ac:dyDescent="0.35">
      <c r="A390" s="8" t="str">
        <f>Clean_Data!A390</f>
        <v/>
      </c>
      <c r="B390" s="16" t="str">
        <f>IF(A390="","",IF(Clean_Data!C390="","FAIL","PASS"))</f>
        <v/>
      </c>
      <c r="C390" s="16" t="str">
        <f>IF(A390="","",IF(AND(Clean_Data!C390&lt;&gt;"",Clean_Data!J390="NO"),"FAIL","PASS"))</f>
        <v/>
      </c>
      <c r="D390" s="16" t="str">
        <f>IF(A390="","",IF(Clean_Data!E390="","FAIL","PASS"))</f>
        <v/>
      </c>
      <c r="E390" s="16" t="str">
        <f>IF(A390="","",IF(Clean_Data!G390="","FAIL","PASS"))</f>
        <v/>
      </c>
      <c r="F390" s="16" t="str">
        <f>IF(A390="","",IF(Clean_Data!G390="","OK",IF(Clean_Data!G390&gt;16,"FLAG","OK")))</f>
        <v/>
      </c>
      <c r="G390" s="16" t="str">
        <f>IF(A390="","",IF(Clean_Data!H390="","FAIL","PASS"))</f>
        <v/>
      </c>
      <c r="H390" s="16" t="str">
        <f>IF(A390="","",IF(OR(Clean_Data!D390="",Clean_Data!K390="NO"),"FAIL","PASS"))</f>
        <v/>
      </c>
      <c r="I390" s="16" t="str">
        <f t="shared" si="18"/>
        <v/>
      </c>
      <c r="J390" s="17" t="str">
        <f t="shared" si="19"/>
        <v/>
      </c>
      <c r="K390" s="16" t="str">
        <f t="shared" si="20"/>
        <v/>
      </c>
    </row>
    <row r="391" spans="1:11" x14ac:dyDescent="0.35">
      <c r="A391" s="8" t="str">
        <f>Clean_Data!A391</f>
        <v/>
      </c>
      <c r="B391" s="16" t="str">
        <f>IF(A391="","",IF(Clean_Data!C391="","FAIL","PASS"))</f>
        <v/>
      </c>
      <c r="C391" s="16" t="str">
        <f>IF(A391="","",IF(AND(Clean_Data!C391&lt;&gt;"",Clean_Data!J391="NO"),"FAIL","PASS"))</f>
        <v/>
      </c>
      <c r="D391" s="16" t="str">
        <f>IF(A391="","",IF(Clean_Data!E391="","FAIL","PASS"))</f>
        <v/>
      </c>
      <c r="E391" s="16" t="str">
        <f>IF(A391="","",IF(Clean_Data!G391="","FAIL","PASS"))</f>
        <v/>
      </c>
      <c r="F391" s="16" t="str">
        <f>IF(A391="","",IF(Clean_Data!G391="","OK",IF(Clean_Data!G391&gt;16,"FLAG","OK")))</f>
        <v/>
      </c>
      <c r="G391" s="16" t="str">
        <f>IF(A391="","",IF(Clean_Data!H391="","FAIL","PASS"))</f>
        <v/>
      </c>
      <c r="H391" s="16" t="str">
        <f>IF(A391="","",IF(OR(Clean_Data!D391="",Clean_Data!K391="NO"),"FAIL","PASS"))</f>
        <v/>
      </c>
      <c r="I391" s="16" t="str">
        <f t="shared" si="18"/>
        <v/>
      </c>
      <c r="J391" s="17" t="str">
        <f t="shared" si="19"/>
        <v/>
      </c>
      <c r="K391" s="16" t="str">
        <f t="shared" si="20"/>
        <v/>
      </c>
    </row>
    <row r="392" spans="1:11" x14ac:dyDescent="0.35">
      <c r="A392" s="8" t="str">
        <f>Clean_Data!A392</f>
        <v/>
      </c>
      <c r="B392" s="16" t="str">
        <f>IF(A392="","",IF(Clean_Data!C392="","FAIL","PASS"))</f>
        <v/>
      </c>
      <c r="C392" s="16" t="str">
        <f>IF(A392="","",IF(AND(Clean_Data!C392&lt;&gt;"",Clean_Data!J392="NO"),"FAIL","PASS"))</f>
        <v/>
      </c>
      <c r="D392" s="16" t="str">
        <f>IF(A392="","",IF(Clean_Data!E392="","FAIL","PASS"))</f>
        <v/>
      </c>
      <c r="E392" s="16" t="str">
        <f>IF(A392="","",IF(Clean_Data!G392="","FAIL","PASS"))</f>
        <v/>
      </c>
      <c r="F392" s="16" t="str">
        <f>IF(A392="","",IF(Clean_Data!G392="","OK",IF(Clean_Data!G392&gt;16,"FLAG","OK")))</f>
        <v/>
      </c>
      <c r="G392" s="16" t="str">
        <f>IF(A392="","",IF(Clean_Data!H392="","FAIL","PASS"))</f>
        <v/>
      </c>
      <c r="H392" s="16" t="str">
        <f>IF(A392="","",IF(OR(Clean_Data!D392="",Clean_Data!K392="NO"),"FAIL","PASS"))</f>
        <v/>
      </c>
      <c r="I392" s="16" t="str">
        <f t="shared" si="18"/>
        <v/>
      </c>
      <c r="J392" s="17" t="str">
        <f t="shared" si="19"/>
        <v/>
      </c>
      <c r="K392" s="16" t="str">
        <f t="shared" si="20"/>
        <v/>
      </c>
    </row>
    <row r="393" spans="1:11" x14ac:dyDescent="0.35">
      <c r="A393" s="8" t="str">
        <f>Clean_Data!A393</f>
        <v/>
      </c>
      <c r="B393" s="16" t="str">
        <f>IF(A393="","",IF(Clean_Data!C393="","FAIL","PASS"))</f>
        <v/>
      </c>
      <c r="C393" s="16" t="str">
        <f>IF(A393="","",IF(AND(Clean_Data!C393&lt;&gt;"",Clean_Data!J393="NO"),"FAIL","PASS"))</f>
        <v/>
      </c>
      <c r="D393" s="16" t="str">
        <f>IF(A393="","",IF(Clean_Data!E393="","FAIL","PASS"))</f>
        <v/>
      </c>
      <c r="E393" s="16" t="str">
        <f>IF(A393="","",IF(Clean_Data!G393="","FAIL","PASS"))</f>
        <v/>
      </c>
      <c r="F393" s="16" t="str">
        <f>IF(A393="","",IF(Clean_Data!G393="","OK",IF(Clean_Data!G393&gt;16,"FLAG","OK")))</f>
        <v/>
      </c>
      <c r="G393" s="16" t="str">
        <f>IF(A393="","",IF(Clean_Data!H393="","FAIL","PASS"))</f>
        <v/>
      </c>
      <c r="H393" s="16" t="str">
        <f>IF(A393="","",IF(OR(Clean_Data!D393="",Clean_Data!K393="NO"),"FAIL","PASS"))</f>
        <v/>
      </c>
      <c r="I393" s="16" t="str">
        <f t="shared" si="18"/>
        <v/>
      </c>
      <c r="J393" s="17" t="str">
        <f t="shared" si="19"/>
        <v/>
      </c>
      <c r="K393" s="16" t="str">
        <f t="shared" si="20"/>
        <v/>
      </c>
    </row>
    <row r="394" spans="1:11" x14ac:dyDescent="0.35">
      <c r="A394" s="8" t="str">
        <f>Clean_Data!A394</f>
        <v/>
      </c>
      <c r="B394" s="16" t="str">
        <f>IF(A394="","",IF(Clean_Data!C394="","FAIL","PASS"))</f>
        <v/>
      </c>
      <c r="C394" s="16" t="str">
        <f>IF(A394="","",IF(AND(Clean_Data!C394&lt;&gt;"",Clean_Data!J394="NO"),"FAIL","PASS"))</f>
        <v/>
      </c>
      <c r="D394" s="16" t="str">
        <f>IF(A394="","",IF(Clean_Data!E394="","FAIL","PASS"))</f>
        <v/>
      </c>
      <c r="E394" s="16" t="str">
        <f>IF(A394="","",IF(Clean_Data!G394="","FAIL","PASS"))</f>
        <v/>
      </c>
      <c r="F394" s="16" t="str">
        <f>IF(A394="","",IF(Clean_Data!G394="","OK",IF(Clean_Data!G394&gt;16,"FLAG","OK")))</f>
        <v/>
      </c>
      <c r="G394" s="16" t="str">
        <f>IF(A394="","",IF(Clean_Data!H394="","FAIL","PASS"))</f>
        <v/>
      </c>
      <c r="H394" s="16" t="str">
        <f>IF(A394="","",IF(OR(Clean_Data!D394="",Clean_Data!K394="NO"),"FAIL","PASS"))</f>
        <v/>
      </c>
      <c r="I394" s="16" t="str">
        <f t="shared" si="18"/>
        <v/>
      </c>
      <c r="J394" s="17" t="str">
        <f t="shared" si="19"/>
        <v/>
      </c>
      <c r="K394" s="16" t="str">
        <f t="shared" si="20"/>
        <v/>
      </c>
    </row>
    <row r="395" spans="1:11" x14ac:dyDescent="0.35">
      <c r="A395" s="8" t="str">
        <f>Clean_Data!A395</f>
        <v/>
      </c>
      <c r="B395" s="16" t="str">
        <f>IF(A395="","",IF(Clean_Data!C395="","FAIL","PASS"))</f>
        <v/>
      </c>
      <c r="C395" s="16" t="str">
        <f>IF(A395="","",IF(AND(Clean_Data!C395&lt;&gt;"",Clean_Data!J395="NO"),"FAIL","PASS"))</f>
        <v/>
      </c>
      <c r="D395" s="16" t="str">
        <f>IF(A395="","",IF(Clean_Data!E395="","FAIL","PASS"))</f>
        <v/>
      </c>
      <c r="E395" s="16" t="str">
        <f>IF(A395="","",IF(Clean_Data!G395="","FAIL","PASS"))</f>
        <v/>
      </c>
      <c r="F395" s="16" t="str">
        <f>IF(A395="","",IF(Clean_Data!G395="","OK",IF(Clean_Data!G395&gt;16,"FLAG","OK")))</f>
        <v/>
      </c>
      <c r="G395" s="16" t="str">
        <f>IF(A395="","",IF(Clean_Data!H395="","FAIL","PASS"))</f>
        <v/>
      </c>
      <c r="H395" s="16" t="str">
        <f>IF(A395="","",IF(OR(Clean_Data!D395="",Clean_Data!K395="NO"),"FAIL","PASS"))</f>
        <v/>
      </c>
      <c r="I395" s="16" t="str">
        <f t="shared" si="18"/>
        <v/>
      </c>
      <c r="J395" s="17" t="str">
        <f t="shared" si="19"/>
        <v/>
      </c>
      <c r="K395" s="16" t="str">
        <f t="shared" si="20"/>
        <v/>
      </c>
    </row>
    <row r="396" spans="1:11" x14ac:dyDescent="0.35">
      <c r="A396" s="8" t="str">
        <f>Clean_Data!A396</f>
        <v/>
      </c>
      <c r="B396" s="16" t="str">
        <f>IF(A396="","",IF(Clean_Data!C396="","FAIL","PASS"))</f>
        <v/>
      </c>
      <c r="C396" s="16" t="str">
        <f>IF(A396="","",IF(AND(Clean_Data!C396&lt;&gt;"",Clean_Data!J396="NO"),"FAIL","PASS"))</f>
        <v/>
      </c>
      <c r="D396" s="16" t="str">
        <f>IF(A396="","",IF(Clean_Data!E396="","FAIL","PASS"))</f>
        <v/>
      </c>
      <c r="E396" s="16" t="str">
        <f>IF(A396="","",IF(Clean_Data!G396="","FAIL","PASS"))</f>
        <v/>
      </c>
      <c r="F396" s="16" t="str">
        <f>IF(A396="","",IF(Clean_Data!G396="","OK",IF(Clean_Data!G396&gt;16,"FLAG","OK")))</f>
        <v/>
      </c>
      <c r="G396" s="16" t="str">
        <f>IF(A396="","",IF(Clean_Data!H396="","FAIL","PASS"))</f>
        <v/>
      </c>
      <c r="H396" s="16" t="str">
        <f>IF(A396="","",IF(OR(Clean_Data!D396="",Clean_Data!K396="NO"),"FAIL","PASS"))</f>
        <v/>
      </c>
      <c r="I396" s="16" t="str">
        <f t="shared" si="18"/>
        <v/>
      </c>
      <c r="J396" s="17" t="str">
        <f t="shared" si="19"/>
        <v/>
      </c>
      <c r="K396" s="16" t="str">
        <f t="shared" si="20"/>
        <v/>
      </c>
    </row>
    <row r="397" spans="1:11" x14ac:dyDescent="0.35">
      <c r="A397" s="8" t="str">
        <f>Clean_Data!A397</f>
        <v/>
      </c>
      <c r="B397" s="16" t="str">
        <f>IF(A397="","",IF(Clean_Data!C397="","FAIL","PASS"))</f>
        <v/>
      </c>
      <c r="C397" s="16" t="str">
        <f>IF(A397="","",IF(AND(Clean_Data!C397&lt;&gt;"",Clean_Data!J397="NO"),"FAIL","PASS"))</f>
        <v/>
      </c>
      <c r="D397" s="16" t="str">
        <f>IF(A397="","",IF(Clean_Data!E397="","FAIL","PASS"))</f>
        <v/>
      </c>
      <c r="E397" s="16" t="str">
        <f>IF(A397="","",IF(Clean_Data!G397="","FAIL","PASS"))</f>
        <v/>
      </c>
      <c r="F397" s="16" t="str">
        <f>IF(A397="","",IF(Clean_Data!G397="","OK",IF(Clean_Data!G397&gt;16,"FLAG","OK")))</f>
        <v/>
      </c>
      <c r="G397" s="16" t="str">
        <f>IF(A397="","",IF(Clean_Data!H397="","FAIL","PASS"))</f>
        <v/>
      </c>
      <c r="H397" s="16" t="str">
        <f>IF(A397="","",IF(OR(Clean_Data!D397="",Clean_Data!K397="NO"),"FAIL","PASS"))</f>
        <v/>
      </c>
      <c r="I397" s="16" t="str">
        <f t="shared" si="18"/>
        <v/>
      </c>
      <c r="J397" s="17" t="str">
        <f t="shared" si="19"/>
        <v/>
      </c>
      <c r="K397" s="16" t="str">
        <f t="shared" si="20"/>
        <v/>
      </c>
    </row>
    <row r="398" spans="1:11" x14ac:dyDescent="0.35">
      <c r="A398" s="8" t="str">
        <f>Clean_Data!A398</f>
        <v/>
      </c>
      <c r="B398" s="16" t="str">
        <f>IF(A398="","",IF(Clean_Data!C398="","FAIL","PASS"))</f>
        <v/>
      </c>
      <c r="C398" s="16" t="str">
        <f>IF(A398="","",IF(AND(Clean_Data!C398&lt;&gt;"",Clean_Data!J398="NO"),"FAIL","PASS"))</f>
        <v/>
      </c>
      <c r="D398" s="16" t="str">
        <f>IF(A398="","",IF(Clean_Data!E398="","FAIL","PASS"))</f>
        <v/>
      </c>
      <c r="E398" s="16" t="str">
        <f>IF(A398="","",IF(Clean_Data!G398="","FAIL","PASS"))</f>
        <v/>
      </c>
      <c r="F398" s="16" t="str">
        <f>IF(A398="","",IF(Clean_Data!G398="","OK",IF(Clean_Data!G398&gt;16,"FLAG","OK")))</f>
        <v/>
      </c>
      <c r="G398" s="16" t="str">
        <f>IF(A398="","",IF(Clean_Data!H398="","FAIL","PASS"))</f>
        <v/>
      </c>
      <c r="H398" s="16" t="str">
        <f>IF(A398="","",IF(OR(Clean_Data!D398="",Clean_Data!K398="NO"),"FAIL","PASS"))</f>
        <v/>
      </c>
      <c r="I398" s="16" t="str">
        <f t="shared" si="18"/>
        <v/>
      </c>
      <c r="J398" s="17" t="str">
        <f t="shared" si="19"/>
        <v/>
      </c>
      <c r="K398" s="16" t="str">
        <f t="shared" si="20"/>
        <v/>
      </c>
    </row>
    <row r="399" spans="1:11" x14ac:dyDescent="0.35">
      <c r="A399" s="8" t="str">
        <f>Clean_Data!A399</f>
        <v/>
      </c>
      <c r="B399" s="16" t="str">
        <f>IF(A399="","",IF(Clean_Data!C399="","FAIL","PASS"))</f>
        <v/>
      </c>
      <c r="C399" s="16" t="str">
        <f>IF(A399="","",IF(AND(Clean_Data!C399&lt;&gt;"",Clean_Data!J399="NO"),"FAIL","PASS"))</f>
        <v/>
      </c>
      <c r="D399" s="16" t="str">
        <f>IF(A399="","",IF(Clean_Data!E399="","FAIL","PASS"))</f>
        <v/>
      </c>
      <c r="E399" s="16" t="str">
        <f>IF(A399="","",IF(Clean_Data!G399="","FAIL","PASS"))</f>
        <v/>
      </c>
      <c r="F399" s="16" t="str">
        <f>IF(A399="","",IF(Clean_Data!G399="","OK",IF(Clean_Data!G399&gt;16,"FLAG","OK")))</f>
        <v/>
      </c>
      <c r="G399" s="16" t="str">
        <f>IF(A399="","",IF(Clean_Data!H399="","FAIL","PASS"))</f>
        <v/>
      </c>
      <c r="H399" s="16" t="str">
        <f>IF(A399="","",IF(OR(Clean_Data!D399="",Clean_Data!K399="NO"),"FAIL","PASS"))</f>
        <v/>
      </c>
      <c r="I399" s="16" t="str">
        <f t="shared" si="18"/>
        <v/>
      </c>
      <c r="J399" s="17" t="str">
        <f t="shared" si="19"/>
        <v/>
      </c>
      <c r="K399" s="16" t="str">
        <f t="shared" si="20"/>
        <v/>
      </c>
    </row>
    <row r="400" spans="1:11" x14ac:dyDescent="0.35">
      <c r="A400" s="8" t="str">
        <f>Clean_Data!A400</f>
        <v/>
      </c>
      <c r="B400" s="16" t="str">
        <f>IF(A400="","",IF(Clean_Data!C400="","FAIL","PASS"))</f>
        <v/>
      </c>
      <c r="C400" s="16" t="str">
        <f>IF(A400="","",IF(AND(Clean_Data!C400&lt;&gt;"",Clean_Data!J400="NO"),"FAIL","PASS"))</f>
        <v/>
      </c>
      <c r="D400" s="16" t="str">
        <f>IF(A400="","",IF(Clean_Data!E400="","FAIL","PASS"))</f>
        <v/>
      </c>
      <c r="E400" s="16" t="str">
        <f>IF(A400="","",IF(Clean_Data!G400="","FAIL","PASS"))</f>
        <v/>
      </c>
      <c r="F400" s="16" t="str">
        <f>IF(A400="","",IF(Clean_Data!G400="","OK",IF(Clean_Data!G400&gt;16,"FLAG","OK")))</f>
        <v/>
      </c>
      <c r="G400" s="16" t="str">
        <f>IF(A400="","",IF(Clean_Data!H400="","FAIL","PASS"))</f>
        <v/>
      </c>
      <c r="H400" s="16" t="str">
        <f>IF(A400="","",IF(OR(Clean_Data!D400="",Clean_Data!K400="NO"),"FAIL","PASS"))</f>
        <v/>
      </c>
      <c r="I400" s="16" t="str">
        <f t="shared" si="18"/>
        <v/>
      </c>
      <c r="J400" s="17" t="str">
        <f t="shared" si="19"/>
        <v/>
      </c>
      <c r="K400" s="16" t="str">
        <f t="shared" si="20"/>
        <v/>
      </c>
    </row>
    <row r="401" spans="1:11" x14ac:dyDescent="0.35">
      <c r="A401" s="8" t="str">
        <f>Clean_Data!A401</f>
        <v/>
      </c>
      <c r="B401" s="16" t="str">
        <f>IF(A401="","",IF(Clean_Data!C401="","FAIL","PASS"))</f>
        <v/>
      </c>
      <c r="C401" s="16" t="str">
        <f>IF(A401="","",IF(AND(Clean_Data!C401&lt;&gt;"",Clean_Data!J401="NO"),"FAIL","PASS"))</f>
        <v/>
      </c>
      <c r="D401" s="16" t="str">
        <f>IF(A401="","",IF(Clean_Data!E401="","FAIL","PASS"))</f>
        <v/>
      </c>
      <c r="E401" s="16" t="str">
        <f>IF(A401="","",IF(Clean_Data!G401="","FAIL","PASS"))</f>
        <v/>
      </c>
      <c r="F401" s="16" t="str">
        <f>IF(A401="","",IF(Clean_Data!G401="","OK",IF(Clean_Data!G401&gt;16,"FLAG","OK")))</f>
        <v/>
      </c>
      <c r="G401" s="16" t="str">
        <f>IF(A401="","",IF(Clean_Data!H401="","FAIL","PASS"))</f>
        <v/>
      </c>
      <c r="H401" s="16" t="str">
        <f>IF(A401="","",IF(OR(Clean_Data!D401="",Clean_Data!K401="NO"),"FAIL","PASS"))</f>
        <v/>
      </c>
      <c r="I401" s="16" t="str">
        <f t="shared" si="18"/>
        <v/>
      </c>
      <c r="J401" s="17" t="str">
        <f t="shared" si="19"/>
        <v/>
      </c>
      <c r="K401" s="16" t="str">
        <f t="shared" si="20"/>
        <v/>
      </c>
    </row>
    <row r="402" spans="1:11" x14ac:dyDescent="0.35">
      <c r="A402" s="8" t="str">
        <f>Clean_Data!A402</f>
        <v/>
      </c>
      <c r="B402" s="16" t="str">
        <f>IF(A402="","",IF(Clean_Data!C402="","FAIL","PASS"))</f>
        <v/>
      </c>
      <c r="C402" s="16" t="str">
        <f>IF(A402="","",IF(AND(Clean_Data!C402&lt;&gt;"",Clean_Data!J402="NO"),"FAIL","PASS"))</f>
        <v/>
      </c>
      <c r="D402" s="16" t="str">
        <f>IF(A402="","",IF(Clean_Data!E402="","FAIL","PASS"))</f>
        <v/>
      </c>
      <c r="E402" s="16" t="str">
        <f>IF(A402="","",IF(Clean_Data!G402="","FAIL","PASS"))</f>
        <v/>
      </c>
      <c r="F402" s="16" t="str">
        <f>IF(A402="","",IF(Clean_Data!G402="","OK",IF(Clean_Data!G402&gt;16,"FLAG","OK")))</f>
        <v/>
      </c>
      <c r="G402" s="16" t="str">
        <f>IF(A402="","",IF(Clean_Data!H402="","FAIL","PASS"))</f>
        <v/>
      </c>
      <c r="H402" s="16" t="str">
        <f>IF(A402="","",IF(OR(Clean_Data!D402="",Clean_Data!K402="NO"),"FAIL","PASS"))</f>
        <v/>
      </c>
      <c r="I402" s="16" t="str">
        <f t="shared" si="18"/>
        <v/>
      </c>
      <c r="J402" s="17" t="str">
        <f t="shared" si="19"/>
        <v/>
      </c>
      <c r="K402" s="16" t="str">
        <f t="shared" si="20"/>
        <v/>
      </c>
    </row>
    <row r="403" spans="1:11" x14ac:dyDescent="0.35">
      <c r="A403" s="8" t="str">
        <f>Clean_Data!A403</f>
        <v/>
      </c>
      <c r="B403" s="16" t="str">
        <f>IF(A403="","",IF(Clean_Data!C403="","FAIL","PASS"))</f>
        <v/>
      </c>
      <c r="C403" s="16" t="str">
        <f>IF(A403="","",IF(AND(Clean_Data!C403&lt;&gt;"",Clean_Data!J403="NO"),"FAIL","PASS"))</f>
        <v/>
      </c>
      <c r="D403" s="16" t="str">
        <f>IF(A403="","",IF(Clean_Data!E403="","FAIL","PASS"))</f>
        <v/>
      </c>
      <c r="E403" s="16" t="str">
        <f>IF(A403="","",IF(Clean_Data!G403="","FAIL","PASS"))</f>
        <v/>
      </c>
      <c r="F403" s="16" t="str">
        <f>IF(A403="","",IF(Clean_Data!G403="","OK",IF(Clean_Data!G403&gt;16,"FLAG","OK")))</f>
        <v/>
      </c>
      <c r="G403" s="16" t="str">
        <f>IF(A403="","",IF(Clean_Data!H403="","FAIL","PASS"))</f>
        <v/>
      </c>
      <c r="H403" s="16" t="str">
        <f>IF(A403="","",IF(OR(Clean_Data!D403="",Clean_Data!K403="NO"),"FAIL","PASS"))</f>
        <v/>
      </c>
      <c r="I403" s="16" t="str">
        <f t="shared" si="18"/>
        <v/>
      </c>
      <c r="J403" s="17" t="str">
        <f t="shared" si="19"/>
        <v/>
      </c>
      <c r="K403" s="16" t="str">
        <f t="shared" si="20"/>
        <v/>
      </c>
    </row>
    <row r="404" spans="1:11" x14ac:dyDescent="0.35">
      <c r="A404" s="8" t="str">
        <f>Clean_Data!A404</f>
        <v/>
      </c>
      <c r="B404" s="16" t="str">
        <f>IF(A404="","",IF(Clean_Data!C404="","FAIL","PASS"))</f>
        <v/>
      </c>
      <c r="C404" s="16" t="str">
        <f>IF(A404="","",IF(AND(Clean_Data!C404&lt;&gt;"",Clean_Data!J404="NO"),"FAIL","PASS"))</f>
        <v/>
      </c>
      <c r="D404" s="16" t="str">
        <f>IF(A404="","",IF(Clean_Data!E404="","FAIL","PASS"))</f>
        <v/>
      </c>
      <c r="E404" s="16" t="str">
        <f>IF(A404="","",IF(Clean_Data!G404="","FAIL","PASS"))</f>
        <v/>
      </c>
      <c r="F404" s="16" t="str">
        <f>IF(A404="","",IF(Clean_Data!G404="","OK",IF(Clean_Data!G404&gt;16,"FLAG","OK")))</f>
        <v/>
      </c>
      <c r="G404" s="16" t="str">
        <f>IF(A404="","",IF(Clean_Data!H404="","FAIL","PASS"))</f>
        <v/>
      </c>
      <c r="H404" s="16" t="str">
        <f>IF(A404="","",IF(OR(Clean_Data!D404="",Clean_Data!K404="NO"),"FAIL","PASS"))</f>
        <v/>
      </c>
      <c r="I404" s="16" t="str">
        <f t="shared" si="18"/>
        <v/>
      </c>
      <c r="J404" s="17" t="str">
        <f t="shared" si="19"/>
        <v/>
      </c>
      <c r="K404" s="16" t="str">
        <f t="shared" si="20"/>
        <v/>
      </c>
    </row>
    <row r="405" spans="1:11" x14ac:dyDescent="0.35">
      <c r="A405" s="8" t="str">
        <f>Clean_Data!A405</f>
        <v/>
      </c>
      <c r="B405" s="16" t="str">
        <f>IF(A405="","",IF(Clean_Data!C405="","FAIL","PASS"))</f>
        <v/>
      </c>
      <c r="C405" s="16" t="str">
        <f>IF(A405="","",IF(AND(Clean_Data!C405&lt;&gt;"",Clean_Data!J405="NO"),"FAIL","PASS"))</f>
        <v/>
      </c>
      <c r="D405" s="16" t="str">
        <f>IF(A405="","",IF(Clean_Data!E405="","FAIL","PASS"))</f>
        <v/>
      </c>
      <c r="E405" s="16" t="str">
        <f>IF(A405="","",IF(Clean_Data!G405="","FAIL","PASS"))</f>
        <v/>
      </c>
      <c r="F405" s="16" t="str">
        <f>IF(A405="","",IF(Clean_Data!G405="","OK",IF(Clean_Data!G405&gt;16,"FLAG","OK")))</f>
        <v/>
      </c>
      <c r="G405" s="16" t="str">
        <f>IF(A405="","",IF(Clean_Data!H405="","FAIL","PASS"))</f>
        <v/>
      </c>
      <c r="H405" s="16" t="str">
        <f>IF(A405="","",IF(OR(Clean_Data!D405="",Clean_Data!K405="NO"),"FAIL","PASS"))</f>
        <v/>
      </c>
      <c r="I405" s="16" t="str">
        <f t="shared" si="18"/>
        <v/>
      </c>
      <c r="J405" s="17" t="str">
        <f t="shared" si="19"/>
        <v/>
      </c>
      <c r="K405" s="16" t="str">
        <f t="shared" si="20"/>
        <v/>
      </c>
    </row>
    <row r="406" spans="1:11" x14ac:dyDescent="0.35">
      <c r="A406" s="8" t="str">
        <f>Clean_Data!A406</f>
        <v/>
      </c>
      <c r="B406" s="16" t="str">
        <f>IF(A406="","",IF(Clean_Data!C406="","FAIL","PASS"))</f>
        <v/>
      </c>
      <c r="C406" s="16" t="str">
        <f>IF(A406="","",IF(AND(Clean_Data!C406&lt;&gt;"",Clean_Data!J406="NO"),"FAIL","PASS"))</f>
        <v/>
      </c>
      <c r="D406" s="16" t="str">
        <f>IF(A406="","",IF(Clean_Data!E406="","FAIL","PASS"))</f>
        <v/>
      </c>
      <c r="E406" s="16" t="str">
        <f>IF(A406="","",IF(Clean_Data!G406="","FAIL","PASS"))</f>
        <v/>
      </c>
      <c r="F406" s="16" t="str">
        <f>IF(A406="","",IF(Clean_Data!G406="","OK",IF(Clean_Data!G406&gt;16,"FLAG","OK")))</f>
        <v/>
      </c>
      <c r="G406" s="16" t="str">
        <f>IF(A406="","",IF(Clean_Data!H406="","FAIL","PASS"))</f>
        <v/>
      </c>
      <c r="H406" s="16" t="str">
        <f>IF(A406="","",IF(OR(Clean_Data!D406="",Clean_Data!K406="NO"),"FAIL","PASS"))</f>
        <v/>
      </c>
      <c r="I406" s="16" t="str">
        <f t="shared" si="18"/>
        <v/>
      </c>
      <c r="J406" s="17" t="str">
        <f t="shared" si="19"/>
        <v/>
      </c>
      <c r="K406" s="16" t="str">
        <f t="shared" si="20"/>
        <v/>
      </c>
    </row>
    <row r="407" spans="1:11" x14ac:dyDescent="0.35">
      <c r="A407" s="8" t="str">
        <f>Clean_Data!A407</f>
        <v/>
      </c>
      <c r="B407" s="16" t="str">
        <f>IF(A407="","",IF(Clean_Data!C407="","FAIL","PASS"))</f>
        <v/>
      </c>
      <c r="C407" s="16" t="str">
        <f>IF(A407="","",IF(AND(Clean_Data!C407&lt;&gt;"",Clean_Data!J407="NO"),"FAIL","PASS"))</f>
        <v/>
      </c>
      <c r="D407" s="16" t="str">
        <f>IF(A407="","",IF(Clean_Data!E407="","FAIL","PASS"))</f>
        <v/>
      </c>
      <c r="E407" s="16" t="str">
        <f>IF(A407="","",IF(Clean_Data!G407="","FAIL","PASS"))</f>
        <v/>
      </c>
      <c r="F407" s="16" t="str">
        <f>IF(A407="","",IF(Clean_Data!G407="","OK",IF(Clean_Data!G407&gt;16,"FLAG","OK")))</f>
        <v/>
      </c>
      <c r="G407" s="16" t="str">
        <f>IF(A407="","",IF(Clean_Data!H407="","FAIL","PASS"))</f>
        <v/>
      </c>
      <c r="H407" s="16" t="str">
        <f>IF(A407="","",IF(OR(Clean_Data!D407="",Clean_Data!K407="NO"),"FAIL","PASS"))</f>
        <v/>
      </c>
      <c r="I407" s="16" t="str">
        <f t="shared" si="18"/>
        <v/>
      </c>
      <c r="J407" s="17" t="str">
        <f t="shared" si="19"/>
        <v/>
      </c>
      <c r="K407" s="16" t="str">
        <f t="shared" si="20"/>
        <v/>
      </c>
    </row>
    <row r="408" spans="1:11" x14ac:dyDescent="0.35">
      <c r="A408" s="8" t="str">
        <f>Clean_Data!A408</f>
        <v/>
      </c>
      <c r="B408" s="16" t="str">
        <f>IF(A408="","",IF(Clean_Data!C408="","FAIL","PASS"))</f>
        <v/>
      </c>
      <c r="C408" s="16" t="str">
        <f>IF(A408="","",IF(AND(Clean_Data!C408&lt;&gt;"",Clean_Data!J408="NO"),"FAIL","PASS"))</f>
        <v/>
      </c>
      <c r="D408" s="16" t="str">
        <f>IF(A408="","",IF(Clean_Data!E408="","FAIL","PASS"))</f>
        <v/>
      </c>
      <c r="E408" s="16" t="str">
        <f>IF(A408="","",IF(Clean_Data!G408="","FAIL","PASS"))</f>
        <v/>
      </c>
      <c r="F408" s="16" t="str">
        <f>IF(A408="","",IF(Clean_Data!G408="","OK",IF(Clean_Data!G408&gt;16,"FLAG","OK")))</f>
        <v/>
      </c>
      <c r="G408" s="16" t="str">
        <f>IF(A408="","",IF(Clean_Data!H408="","FAIL","PASS"))</f>
        <v/>
      </c>
      <c r="H408" s="16" t="str">
        <f>IF(A408="","",IF(OR(Clean_Data!D408="",Clean_Data!K408="NO"),"FAIL","PASS"))</f>
        <v/>
      </c>
      <c r="I408" s="16" t="str">
        <f t="shared" si="18"/>
        <v/>
      </c>
      <c r="J408" s="17" t="str">
        <f t="shared" si="19"/>
        <v/>
      </c>
      <c r="K408" s="16" t="str">
        <f t="shared" si="20"/>
        <v/>
      </c>
    </row>
    <row r="409" spans="1:11" x14ac:dyDescent="0.35">
      <c r="A409" s="8" t="str">
        <f>Clean_Data!A409</f>
        <v/>
      </c>
      <c r="B409" s="16" t="str">
        <f>IF(A409="","",IF(Clean_Data!C409="","FAIL","PASS"))</f>
        <v/>
      </c>
      <c r="C409" s="16" t="str">
        <f>IF(A409="","",IF(AND(Clean_Data!C409&lt;&gt;"",Clean_Data!J409="NO"),"FAIL","PASS"))</f>
        <v/>
      </c>
      <c r="D409" s="16" t="str">
        <f>IF(A409="","",IF(Clean_Data!E409="","FAIL","PASS"))</f>
        <v/>
      </c>
      <c r="E409" s="16" t="str">
        <f>IF(A409="","",IF(Clean_Data!G409="","FAIL","PASS"))</f>
        <v/>
      </c>
      <c r="F409" s="16" t="str">
        <f>IF(A409="","",IF(Clean_Data!G409="","OK",IF(Clean_Data!G409&gt;16,"FLAG","OK")))</f>
        <v/>
      </c>
      <c r="G409" s="16" t="str">
        <f>IF(A409="","",IF(Clean_Data!H409="","FAIL","PASS"))</f>
        <v/>
      </c>
      <c r="H409" s="16" t="str">
        <f>IF(A409="","",IF(OR(Clean_Data!D409="",Clean_Data!K409="NO"),"FAIL","PASS"))</f>
        <v/>
      </c>
      <c r="I409" s="16" t="str">
        <f t="shared" si="18"/>
        <v/>
      </c>
      <c r="J409" s="17" t="str">
        <f t="shared" si="19"/>
        <v/>
      </c>
      <c r="K409" s="16" t="str">
        <f t="shared" si="20"/>
        <v/>
      </c>
    </row>
    <row r="410" spans="1:11" x14ac:dyDescent="0.35">
      <c r="A410" s="8" t="str">
        <f>Clean_Data!A410</f>
        <v/>
      </c>
      <c r="B410" s="16" t="str">
        <f>IF(A410="","",IF(Clean_Data!C410="","FAIL","PASS"))</f>
        <v/>
      </c>
      <c r="C410" s="16" t="str">
        <f>IF(A410="","",IF(AND(Clean_Data!C410&lt;&gt;"",Clean_Data!J410="NO"),"FAIL","PASS"))</f>
        <v/>
      </c>
      <c r="D410" s="16" t="str">
        <f>IF(A410="","",IF(Clean_Data!E410="","FAIL","PASS"))</f>
        <v/>
      </c>
      <c r="E410" s="16" t="str">
        <f>IF(A410="","",IF(Clean_Data!G410="","FAIL","PASS"))</f>
        <v/>
      </c>
      <c r="F410" s="16" t="str">
        <f>IF(A410="","",IF(Clean_Data!G410="","OK",IF(Clean_Data!G410&gt;16,"FLAG","OK")))</f>
        <v/>
      </c>
      <c r="G410" s="16" t="str">
        <f>IF(A410="","",IF(Clean_Data!H410="","FAIL","PASS"))</f>
        <v/>
      </c>
      <c r="H410" s="16" t="str">
        <f>IF(A410="","",IF(OR(Clean_Data!D410="",Clean_Data!K410="NO"),"FAIL","PASS"))</f>
        <v/>
      </c>
      <c r="I410" s="16" t="str">
        <f t="shared" si="18"/>
        <v/>
      </c>
      <c r="J410" s="17" t="str">
        <f t="shared" si="19"/>
        <v/>
      </c>
      <c r="K410" s="16" t="str">
        <f t="shared" si="20"/>
        <v/>
      </c>
    </row>
    <row r="411" spans="1:11" x14ac:dyDescent="0.35">
      <c r="A411" s="8" t="str">
        <f>Clean_Data!A411</f>
        <v/>
      </c>
      <c r="B411" s="16" t="str">
        <f>IF(A411="","",IF(Clean_Data!C411="","FAIL","PASS"))</f>
        <v/>
      </c>
      <c r="C411" s="16" t="str">
        <f>IF(A411="","",IF(AND(Clean_Data!C411&lt;&gt;"",Clean_Data!J411="NO"),"FAIL","PASS"))</f>
        <v/>
      </c>
      <c r="D411" s="16" t="str">
        <f>IF(A411="","",IF(Clean_Data!E411="","FAIL","PASS"))</f>
        <v/>
      </c>
      <c r="E411" s="16" t="str">
        <f>IF(A411="","",IF(Clean_Data!G411="","FAIL","PASS"))</f>
        <v/>
      </c>
      <c r="F411" s="16" t="str">
        <f>IF(A411="","",IF(Clean_Data!G411="","OK",IF(Clean_Data!G411&gt;16,"FLAG","OK")))</f>
        <v/>
      </c>
      <c r="G411" s="16" t="str">
        <f>IF(A411="","",IF(Clean_Data!H411="","FAIL","PASS"))</f>
        <v/>
      </c>
      <c r="H411" s="16" t="str">
        <f>IF(A411="","",IF(OR(Clean_Data!D411="",Clean_Data!K411="NO"),"FAIL","PASS"))</f>
        <v/>
      </c>
      <c r="I411" s="16" t="str">
        <f t="shared" si="18"/>
        <v/>
      </c>
      <c r="J411" s="17" t="str">
        <f t="shared" si="19"/>
        <v/>
      </c>
      <c r="K411" s="16" t="str">
        <f t="shared" si="20"/>
        <v/>
      </c>
    </row>
    <row r="412" spans="1:11" x14ac:dyDescent="0.35">
      <c r="A412" s="8" t="str">
        <f>Clean_Data!A412</f>
        <v/>
      </c>
      <c r="B412" s="16" t="str">
        <f>IF(A412="","",IF(Clean_Data!C412="","FAIL","PASS"))</f>
        <v/>
      </c>
      <c r="C412" s="16" t="str">
        <f>IF(A412="","",IF(AND(Clean_Data!C412&lt;&gt;"",Clean_Data!J412="NO"),"FAIL","PASS"))</f>
        <v/>
      </c>
      <c r="D412" s="16" t="str">
        <f>IF(A412="","",IF(Clean_Data!E412="","FAIL","PASS"))</f>
        <v/>
      </c>
      <c r="E412" s="16" t="str">
        <f>IF(A412="","",IF(Clean_Data!G412="","FAIL","PASS"))</f>
        <v/>
      </c>
      <c r="F412" s="16" t="str">
        <f>IF(A412="","",IF(Clean_Data!G412="","OK",IF(Clean_Data!G412&gt;16,"FLAG","OK")))</f>
        <v/>
      </c>
      <c r="G412" s="16" t="str">
        <f>IF(A412="","",IF(Clean_Data!H412="","FAIL","PASS"))</f>
        <v/>
      </c>
      <c r="H412" s="16" t="str">
        <f>IF(A412="","",IF(OR(Clean_Data!D412="",Clean_Data!K412="NO"),"FAIL","PASS"))</f>
        <v/>
      </c>
      <c r="I412" s="16" t="str">
        <f t="shared" si="18"/>
        <v/>
      </c>
      <c r="J412" s="17" t="str">
        <f t="shared" si="19"/>
        <v/>
      </c>
      <c r="K412" s="16" t="str">
        <f t="shared" si="20"/>
        <v/>
      </c>
    </row>
    <row r="413" spans="1:11" x14ac:dyDescent="0.35">
      <c r="A413" s="8" t="str">
        <f>Clean_Data!A413</f>
        <v/>
      </c>
      <c r="B413" s="16" t="str">
        <f>IF(A413="","",IF(Clean_Data!C413="","FAIL","PASS"))</f>
        <v/>
      </c>
      <c r="C413" s="16" t="str">
        <f>IF(A413="","",IF(AND(Clean_Data!C413&lt;&gt;"",Clean_Data!J413="NO"),"FAIL","PASS"))</f>
        <v/>
      </c>
      <c r="D413" s="16" t="str">
        <f>IF(A413="","",IF(Clean_Data!E413="","FAIL","PASS"))</f>
        <v/>
      </c>
      <c r="E413" s="16" t="str">
        <f>IF(A413="","",IF(Clean_Data!G413="","FAIL","PASS"))</f>
        <v/>
      </c>
      <c r="F413" s="16" t="str">
        <f>IF(A413="","",IF(Clean_Data!G413="","OK",IF(Clean_Data!G413&gt;16,"FLAG","OK")))</f>
        <v/>
      </c>
      <c r="G413" s="16" t="str">
        <f>IF(A413="","",IF(Clean_Data!H413="","FAIL","PASS"))</f>
        <v/>
      </c>
      <c r="H413" s="16" t="str">
        <f>IF(A413="","",IF(OR(Clean_Data!D413="",Clean_Data!K413="NO"),"FAIL","PASS"))</f>
        <v/>
      </c>
      <c r="I413" s="16" t="str">
        <f t="shared" si="18"/>
        <v/>
      </c>
      <c r="J413" s="17" t="str">
        <f t="shared" si="19"/>
        <v/>
      </c>
      <c r="K413" s="16" t="str">
        <f t="shared" si="20"/>
        <v/>
      </c>
    </row>
    <row r="414" spans="1:11" x14ac:dyDescent="0.35">
      <c r="A414" s="8" t="str">
        <f>Clean_Data!A414</f>
        <v/>
      </c>
      <c r="B414" s="16" t="str">
        <f>IF(A414="","",IF(Clean_Data!C414="","FAIL","PASS"))</f>
        <v/>
      </c>
      <c r="C414" s="16" t="str">
        <f>IF(A414="","",IF(AND(Clean_Data!C414&lt;&gt;"",Clean_Data!J414="NO"),"FAIL","PASS"))</f>
        <v/>
      </c>
      <c r="D414" s="16" t="str">
        <f>IF(A414="","",IF(Clean_Data!E414="","FAIL","PASS"))</f>
        <v/>
      </c>
      <c r="E414" s="16" t="str">
        <f>IF(A414="","",IF(Clean_Data!G414="","FAIL","PASS"))</f>
        <v/>
      </c>
      <c r="F414" s="16" t="str">
        <f>IF(A414="","",IF(Clean_Data!G414="","OK",IF(Clean_Data!G414&gt;16,"FLAG","OK")))</f>
        <v/>
      </c>
      <c r="G414" s="16" t="str">
        <f>IF(A414="","",IF(Clean_Data!H414="","FAIL","PASS"))</f>
        <v/>
      </c>
      <c r="H414" s="16" t="str">
        <f>IF(A414="","",IF(OR(Clean_Data!D414="",Clean_Data!K414="NO"),"FAIL","PASS"))</f>
        <v/>
      </c>
      <c r="I414" s="16" t="str">
        <f t="shared" si="18"/>
        <v/>
      </c>
      <c r="J414" s="17" t="str">
        <f t="shared" si="19"/>
        <v/>
      </c>
      <c r="K414" s="16" t="str">
        <f t="shared" si="20"/>
        <v/>
      </c>
    </row>
    <row r="415" spans="1:11" x14ac:dyDescent="0.35">
      <c r="A415" s="8" t="str">
        <f>Clean_Data!A415</f>
        <v/>
      </c>
      <c r="B415" s="16" t="str">
        <f>IF(A415="","",IF(Clean_Data!C415="","FAIL","PASS"))</f>
        <v/>
      </c>
      <c r="C415" s="16" t="str">
        <f>IF(A415="","",IF(AND(Clean_Data!C415&lt;&gt;"",Clean_Data!J415="NO"),"FAIL","PASS"))</f>
        <v/>
      </c>
      <c r="D415" s="16" t="str">
        <f>IF(A415="","",IF(Clean_Data!E415="","FAIL","PASS"))</f>
        <v/>
      </c>
      <c r="E415" s="16" t="str">
        <f>IF(A415="","",IF(Clean_Data!G415="","FAIL","PASS"))</f>
        <v/>
      </c>
      <c r="F415" s="16" t="str">
        <f>IF(A415="","",IF(Clean_Data!G415="","OK",IF(Clean_Data!G415&gt;16,"FLAG","OK")))</f>
        <v/>
      </c>
      <c r="G415" s="16" t="str">
        <f>IF(A415="","",IF(Clean_Data!H415="","FAIL","PASS"))</f>
        <v/>
      </c>
      <c r="H415" s="16" t="str">
        <f>IF(A415="","",IF(OR(Clean_Data!D415="",Clean_Data!K415="NO"),"FAIL","PASS"))</f>
        <v/>
      </c>
      <c r="I415" s="16" t="str">
        <f t="shared" si="18"/>
        <v/>
      </c>
      <c r="J415" s="17" t="str">
        <f t="shared" si="19"/>
        <v/>
      </c>
      <c r="K415" s="16" t="str">
        <f t="shared" si="20"/>
        <v/>
      </c>
    </row>
    <row r="416" spans="1:11" x14ac:dyDescent="0.35">
      <c r="A416" s="8" t="str">
        <f>Clean_Data!A416</f>
        <v/>
      </c>
      <c r="B416" s="16" t="str">
        <f>IF(A416="","",IF(Clean_Data!C416="","FAIL","PASS"))</f>
        <v/>
      </c>
      <c r="C416" s="16" t="str">
        <f>IF(A416="","",IF(AND(Clean_Data!C416&lt;&gt;"",Clean_Data!J416="NO"),"FAIL","PASS"))</f>
        <v/>
      </c>
      <c r="D416" s="16" t="str">
        <f>IF(A416="","",IF(Clean_Data!E416="","FAIL","PASS"))</f>
        <v/>
      </c>
      <c r="E416" s="16" t="str">
        <f>IF(A416="","",IF(Clean_Data!G416="","FAIL","PASS"))</f>
        <v/>
      </c>
      <c r="F416" s="16" t="str">
        <f>IF(A416="","",IF(Clean_Data!G416="","OK",IF(Clean_Data!G416&gt;16,"FLAG","OK")))</f>
        <v/>
      </c>
      <c r="G416" s="16" t="str">
        <f>IF(A416="","",IF(Clean_Data!H416="","FAIL","PASS"))</f>
        <v/>
      </c>
      <c r="H416" s="16" t="str">
        <f>IF(A416="","",IF(OR(Clean_Data!D416="",Clean_Data!K416="NO"),"FAIL","PASS"))</f>
        <v/>
      </c>
      <c r="I416" s="16" t="str">
        <f t="shared" si="18"/>
        <v/>
      </c>
      <c r="J416" s="17" t="str">
        <f t="shared" si="19"/>
        <v/>
      </c>
      <c r="K416" s="16" t="str">
        <f t="shared" si="20"/>
        <v/>
      </c>
    </row>
    <row r="417" spans="1:11" x14ac:dyDescent="0.35">
      <c r="A417" s="8" t="str">
        <f>Clean_Data!A417</f>
        <v/>
      </c>
      <c r="B417" s="16" t="str">
        <f>IF(A417="","",IF(Clean_Data!C417="","FAIL","PASS"))</f>
        <v/>
      </c>
      <c r="C417" s="16" t="str">
        <f>IF(A417="","",IF(AND(Clean_Data!C417&lt;&gt;"",Clean_Data!J417="NO"),"FAIL","PASS"))</f>
        <v/>
      </c>
      <c r="D417" s="16" t="str">
        <f>IF(A417="","",IF(Clean_Data!E417="","FAIL","PASS"))</f>
        <v/>
      </c>
      <c r="E417" s="16" t="str">
        <f>IF(A417="","",IF(Clean_Data!G417="","FAIL","PASS"))</f>
        <v/>
      </c>
      <c r="F417" s="16" t="str">
        <f>IF(A417="","",IF(Clean_Data!G417="","OK",IF(Clean_Data!G417&gt;16,"FLAG","OK")))</f>
        <v/>
      </c>
      <c r="G417" s="16" t="str">
        <f>IF(A417="","",IF(Clean_Data!H417="","FAIL","PASS"))</f>
        <v/>
      </c>
      <c r="H417" s="16" t="str">
        <f>IF(A417="","",IF(OR(Clean_Data!D417="",Clean_Data!K417="NO"),"FAIL","PASS"))</f>
        <v/>
      </c>
      <c r="I417" s="16" t="str">
        <f t="shared" si="18"/>
        <v/>
      </c>
      <c r="J417" s="17" t="str">
        <f t="shared" si="19"/>
        <v/>
      </c>
      <c r="K417" s="16" t="str">
        <f t="shared" si="20"/>
        <v/>
      </c>
    </row>
    <row r="418" spans="1:11" x14ac:dyDescent="0.35">
      <c r="A418" s="8" t="str">
        <f>Clean_Data!A418</f>
        <v/>
      </c>
      <c r="B418" s="16" t="str">
        <f>IF(A418="","",IF(Clean_Data!C418="","FAIL","PASS"))</f>
        <v/>
      </c>
      <c r="C418" s="16" t="str">
        <f>IF(A418="","",IF(AND(Clean_Data!C418&lt;&gt;"",Clean_Data!J418="NO"),"FAIL","PASS"))</f>
        <v/>
      </c>
      <c r="D418" s="16" t="str">
        <f>IF(A418="","",IF(Clean_Data!E418="","FAIL","PASS"))</f>
        <v/>
      </c>
      <c r="E418" s="16" t="str">
        <f>IF(A418="","",IF(Clean_Data!G418="","FAIL","PASS"))</f>
        <v/>
      </c>
      <c r="F418" s="16" t="str">
        <f>IF(A418="","",IF(Clean_Data!G418="","OK",IF(Clean_Data!G418&gt;16,"FLAG","OK")))</f>
        <v/>
      </c>
      <c r="G418" s="16" t="str">
        <f>IF(A418="","",IF(Clean_Data!H418="","FAIL","PASS"))</f>
        <v/>
      </c>
      <c r="H418" s="16" t="str">
        <f>IF(A418="","",IF(OR(Clean_Data!D418="",Clean_Data!K418="NO"),"FAIL","PASS"))</f>
        <v/>
      </c>
      <c r="I418" s="16" t="str">
        <f t="shared" si="18"/>
        <v/>
      </c>
      <c r="J418" s="17" t="str">
        <f t="shared" si="19"/>
        <v/>
      </c>
      <c r="K418" s="16" t="str">
        <f t="shared" si="20"/>
        <v/>
      </c>
    </row>
    <row r="419" spans="1:11" x14ac:dyDescent="0.35">
      <c r="A419" s="8" t="str">
        <f>Clean_Data!A419</f>
        <v/>
      </c>
      <c r="B419" s="16" t="str">
        <f>IF(A419="","",IF(Clean_Data!C419="","FAIL","PASS"))</f>
        <v/>
      </c>
      <c r="C419" s="16" t="str">
        <f>IF(A419="","",IF(AND(Clean_Data!C419&lt;&gt;"",Clean_Data!J419="NO"),"FAIL","PASS"))</f>
        <v/>
      </c>
      <c r="D419" s="16" t="str">
        <f>IF(A419="","",IF(Clean_Data!E419="","FAIL","PASS"))</f>
        <v/>
      </c>
      <c r="E419" s="16" t="str">
        <f>IF(A419="","",IF(Clean_Data!G419="","FAIL","PASS"))</f>
        <v/>
      </c>
      <c r="F419" s="16" t="str">
        <f>IF(A419="","",IF(Clean_Data!G419="","OK",IF(Clean_Data!G419&gt;16,"FLAG","OK")))</f>
        <v/>
      </c>
      <c r="G419" s="16" t="str">
        <f>IF(A419="","",IF(Clean_Data!H419="","FAIL","PASS"))</f>
        <v/>
      </c>
      <c r="H419" s="16" t="str">
        <f>IF(A419="","",IF(OR(Clean_Data!D419="",Clean_Data!K419="NO"),"FAIL","PASS"))</f>
        <v/>
      </c>
      <c r="I419" s="16" t="str">
        <f t="shared" si="18"/>
        <v/>
      </c>
      <c r="J419" s="17" t="str">
        <f t="shared" si="19"/>
        <v/>
      </c>
      <c r="K419" s="16" t="str">
        <f t="shared" si="20"/>
        <v/>
      </c>
    </row>
    <row r="420" spans="1:11" x14ac:dyDescent="0.35">
      <c r="A420" s="8" t="str">
        <f>Clean_Data!A420</f>
        <v/>
      </c>
      <c r="B420" s="16" t="str">
        <f>IF(A420="","",IF(Clean_Data!C420="","FAIL","PASS"))</f>
        <v/>
      </c>
      <c r="C420" s="16" t="str">
        <f>IF(A420="","",IF(AND(Clean_Data!C420&lt;&gt;"",Clean_Data!J420="NO"),"FAIL","PASS"))</f>
        <v/>
      </c>
      <c r="D420" s="16" t="str">
        <f>IF(A420="","",IF(Clean_Data!E420="","FAIL","PASS"))</f>
        <v/>
      </c>
      <c r="E420" s="16" t="str">
        <f>IF(A420="","",IF(Clean_Data!G420="","FAIL","PASS"))</f>
        <v/>
      </c>
      <c r="F420" s="16" t="str">
        <f>IF(A420="","",IF(Clean_Data!G420="","OK",IF(Clean_Data!G420&gt;16,"FLAG","OK")))</f>
        <v/>
      </c>
      <c r="G420" s="16" t="str">
        <f>IF(A420="","",IF(Clean_Data!H420="","FAIL","PASS"))</f>
        <v/>
      </c>
      <c r="H420" s="16" t="str">
        <f>IF(A420="","",IF(OR(Clean_Data!D420="",Clean_Data!K420="NO"),"FAIL","PASS"))</f>
        <v/>
      </c>
      <c r="I420" s="16" t="str">
        <f t="shared" si="18"/>
        <v/>
      </c>
      <c r="J420" s="17" t="str">
        <f t="shared" si="19"/>
        <v/>
      </c>
      <c r="K420" s="16" t="str">
        <f t="shared" si="20"/>
        <v/>
      </c>
    </row>
    <row r="421" spans="1:11" x14ac:dyDescent="0.35">
      <c r="A421" s="8" t="str">
        <f>Clean_Data!A421</f>
        <v/>
      </c>
      <c r="B421" s="16" t="str">
        <f>IF(A421="","",IF(Clean_Data!C421="","FAIL","PASS"))</f>
        <v/>
      </c>
      <c r="C421" s="16" t="str">
        <f>IF(A421="","",IF(AND(Clean_Data!C421&lt;&gt;"",Clean_Data!J421="NO"),"FAIL","PASS"))</f>
        <v/>
      </c>
      <c r="D421" s="16" t="str">
        <f>IF(A421="","",IF(Clean_Data!E421="","FAIL","PASS"))</f>
        <v/>
      </c>
      <c r="E421" s="16" t="str">
        <f>IF(A421="","",IF(Clean_Data!G421="","FAIL","PASS"))</f>
        <v/>
      </c>
      <c r="F421" s="16" t="str">
        <f>IF(A421="","",IF(Clean_Data!G421="","OK",IF(Clean_Data!G421&gt;16,"FLAG","OK")))</f>
        <v/>
      </c>
      <c r="G421" s="16" t="str">
        <f>IF(A421="","",IF(Clean_Data!H421="","FAIL","PASS"))</f>
        <v/>
      </c>
      <c r="H421" s="16" t="str">
        <f>IF(A421="","",IF(OR(Clean_Data!D421="",Clean_Data!K421="NO"),"FAIL","PASS"))</f>
        <v/>
      </c>
      <c r="I421" s="16" t="str">
        <f t="shared" si="18"/>
        <v/>
      </c>
      <c r="J421" s="17" t="str">
        <f t="shared" si="19"/>
        <v/>
      </c>
      <c r="K421" s="16" t="str">
        <f t="shared" si="20"/>
        <v/>
      </c>
    </row>
    <row r="422" spans="1:11" x14ac:dyDescent="0.35">
      <c r="A422" s="8" t="str">
        <f>Clean_Data!A422</f>
        <v/>
      </c>
      <c r="B422" s="16" t="str">
        <f>IF(A422="","",IF(Clean_Data!C422="","FAIL","PASS"))</f>
        <v/>
      </c>
      <c r="C422" s="16" t="str">
        <f>IF(A422="","",IF(AND(Clean_Data!C422&lt;&gt;"",Clean_Data!J422="NO"),"FAIL","PASS"))</f>
        <v/>
      </c>
      <c r="D422" s="16" t="str">
        <f>IF(A422="","",IF(Clean_Data!E422="","FAIL","PASS"))</f>
        <v/>
      </c>
      <c r="E422" s="16" t="str">
        <f>IF(A422="","",IF(Clean_Data!G422="","FAIL","PASS"))</f>
        <v/>
      </c>
      <c r="F422" s="16" t="str">
        <f>IF(A422="","",IF(Clean_Data!G422="","OK",IF(Clean_Data!G422&gt;16,"FLAG","OK")))</f>
        <v/>
      </c>
      <c r="G422" s="16" t="str">
        <f>IF(A422="","",IF(Clean_Data!H422="","FAIL","PASS"))</f>
        <v/>
      </c>
      <c r="H422" s="16" t="str">
        <f>IF(A422="","",IF(OR(Clean_Data!D422="",Clean_Data!K422="NO"),"FAIL","PASS"))</f>
        <v/>
      </c>
      <c r="I422" s="16" t="str">
        <f t="shared" si="18"/>
        <v/>
      </c>
      <c r="J422" s="17" t="str">
        <f t="shared" si="19"/>
        <v/>
      </c>
      <c r="K422" s="16" t="str">
        <f t="shared" si="20"/>
        <v/>
      </c>
    </row>
    <row r="423" spans="1:11" x14ac:dyDescent="0.35">
      <c r="A423" s="8" t="str">
        <f>Clean_Data!A423</f>
        <v/>
      </c>
      <c r="B423" s="16" t="str">
        <f>IF(A423="","",IF(Clean_Data!C423="","FAIL","PASS"))</f>
        <v/>
      </c>
      <c r="C423" s="16" t="str">
        <f>IF(A423="","",IF(AND(Clean_Data!C423&lt;&gt;"",Clean_Data!J423="NO"),"FAIL","PASS"))</f>
        <v/>
      </c>
      <c r="D423" s="16" t="str">
        <f>IF(A423="","",IF(Clean_Data!E423="","FAIL","PASS"))</f>
        <v/>
      </c>
      <c r="E423" s="16" t="str">
        <f>IF(A423="","",IF(Clean_Data!G423="","FAIL","PASS"))</f>
        <v/>
      </c>
      <c r="F423" s="16" t="str">
        <f>IF(A423="","",IF(Clean_Data!G423="","OK",IF(Clean_Data!G423&gt;16,"FLAG","OK")))</f>
        <v/>
      </c>
      <c r="G423" s="16" t="str">
        <f>IF(A423="","",IF(Clean_Data!H423="","FAIL","PASS"))</f>
        <v/>
      </c>
      <c r="H423" s="16" t="str">
        <f>IF(A423="","",IF(OR(Clean_Data!D423="",Clean_Data!K423="NO"),"FAIL","PASS"))</f>
        <v/>
      </c>
      <c r="I423" s="16" t="str">
        <f t="shared" si="18"/>
        <v/>
      </c>
      <c r="J423" s="17" t="str">
        <f t="shared" si="19"/>
        <v/>
      </c>
      <c r="K423" s="16" t="str">
        <f t="shared" si="20"/>
        <v/>
      </c>
    </row>
    <row r="424" spans="1:11" x14ac:dyDescent="0.35">
      <c r="A424" s="8" t="str">
        <f>Clean_Data!A424</f>
        <v/>
      </c>
      <c r="B424" s="16" t="str">
        <f>IF(A424="","",IF(Clean_Data!C424="","FAIL","PASS"))</f>
        <v/>
      </c>
      <c r="C424" s="16" t="str">
        <f>IF(A424="","",IF(AND(Clean_Data!C424&lt;&gt;"",Clean_Data!J424="NO"),"FAIL","PASS"))</f>
        <v/>
      </c>
      <c r="D424" s="16" t="str">
        <f>IF(A424="","",IF(Clean_Data!E424="","FAIL","PASS"))</f>
        <v/>
      </c>
      <c r="E424" s="16" t="str">
        <f>IF(A424="","",IF(Clean_Data!G424="","FAIL","PASS"))</f>
        <v/>
      </c>
      <c r="F424" s="16" t="str">
        <f>IF(A424="","",IF(Clean_Data!G424="","OK",IF(Clean_Data!G424&gt;16,"FLAG","OK")))</f>
        <v/>
      </c>
      <c r="G424" s="16" t="str">
        <f>IF(A424="","",IF(Clean_Data!H424="","FAIL","PASS"))</f>
        <v/>
      </c>
      <c r="H424" s="16" t="str">
        <f>IF(A424="","",IF(OR(Clean_Data!D424="",Clean_Data!K424="NO"),"FAIL","PASS"))</f>
        <v/>
      </c>
      <c r="I424" s="16" t="str">
        <f t="shared" si="18"/>
        <v/>
      </c>
      <c r="J424" s="17" t="str">
        <f t="shared" si="19"/>
        <v/>
      </c>
      <c r="K424" s="16" t="str">
        <f t="shared" si="20"/>
        <v/>
      </c>
    </row>
    <row r="425" spans="1:11" x14ac:dyDescent="0.35">
      <c r="A425" s="8" t="str">
        <f>Clean_Data!A425</f>
        <v/>
      </c>
      <c r="B425" s="16" t="str">
        <f>IF(A425="","",IF(Clean_Data!C425="","FAIL","PASS"))</f>
        <v/>
      </c>
      <c r="C425" s="16" t="str">
        <f>IF(A425="","",IF(AND(Clean_Data!C425&lt;&gt;"",Clean_Data!J425="NO"),"FAIL","PASS"))</f>
        <v/>
      </c>
      <c r="D425" s="16" t="str">
        <f>IF(A425="","",IF(Clean_Data!E425="","FAIL","PASS"))</f>
        <v/>
      </c>
      <c r="E425" s="16" t="str">
        <f>IF(A425="","",IF(Clean_Data!G425="","FAIL","PASS"))</f>
        <v/>
      </c>
      <c r="F425" s="16" t="str">
        <f>IF(A425="","",IF(Clean_Data!G425="","OK",IF(Clean_Data!G425&gt;16,"FLAG","OK")))</f>
        <v/>
      </c>
      <c r="G425" s="16" t="str">
        <f>IF(A425="","",IF(Clean_Data!H425="","FAIL","PASS"))</f>
        <v/>
      </c>
      <c r="H425" s="16" t="str">
        <f>IF(A425="","",IF(OR(Clean_Data!D425="",Clean_Data!K425="NO"),"FAIL","PASS"))</f>
        <v/>
      </c>
      <c r="I425" s="16" t="str">
        <f t="shared" si="18"/>
        <v/>
      </c>
      <c r="J425" s="17" t="str">
        <f t="shared" si="19"/>
        <v/>
      </c>
      <c r="K425" s="16" t="str">
        <f t="shared" si="20"/>
        <v/>
      </c>
    </row>
    <row r="426" spans="1:11" x14ac:dyDescent="0.35">
      <c r="A426" s="8" t="str">
        <f>Clean_Data!A426</f>
        <v/>
      </c>
      <c r="B426" s="16" t="str">
        <f>IF(A426="","",IF(Clean_Data!C426="","FAIL","PASS"))</f>
        <v/>
      </c>
      <c r="C426" s="16" t="str">
        <f>IF(A426="","",IF(AND(Clean_Data!C426&lt;&gt;"",Clean_Data!J426="NO"),"FAIL","PASS"))</f>
        <v/>
      </c>
      <c r="D426" s="16" t="str">
        <f>IF(A426="","",IF(Clean_Data!E426="","FAIL","PASS"))</f>
        <v/>
      </c>
      <c r="E426" s="16" t="str">
        <f>IF(A426="","",IF(Clean_Data!G426="","FAIL","PASS"))</f>
        <v/>
      </c>
      <c r="F426" s="16" t="str">
        <f>IF(A426="","",IF(Clean_Data!G426="","OK",IF(Clean_Data!G426&gt;16,"FLAG","OK")))</f>
        <v/>
      </c>
      <c r="G426" s="16" t="str">
        <f>IF(A426="","",IF(Clean_Data!H426="","FAIL","PASS"))</f>
        <v/>
      </c>
      <c r="H426" s="16" t="str">
        <f>IF(A426="","",IF(OR(Clean_Data!D426="",Clean_Data!K426="NO"),"FAIL","PASS"))</f>
        <v/>
      </c>
      <c r="I426" s="16" t="str">
        <f t="shared" si="18"/>
        <v/>
      </c>
      <c r="J426" s="17" t="str">
        <f t="shared" si="19"/>
        <v/>
      </c>
      <c r="K426" s="16" t="str">
        <f t="shared" si="20"/>
        <v/>
      </c>
    </row>
    <row r="427" spans="1:11" x14ac:dyDescent="0.35">
      <c r="A427" s="8" t="str">
        <f>Clean_Data!A427</f>
        <v/>
      </c>
      <c r="B427" s="16" t="str">
        <f>IF(A427="","",IF(Clean_Data!C427="","FAIL","PASS"))</f>
        <v/>
      </c>
      <c r="C427" s="16" t="str">
        <f>IF(A427="","",IF(AND(Clean_Data!C427&lt;&gt;"",Clean_Data!J427="NO"),"FAIL","PASS"))</f>
        <v/>
      </c>
      <c r="D427" s="16" t="str">
        <f>IF(A427="","",IF(Clean_Data!E427="","FAIL","PASS"))</f>
        <v/>
      </c>
      <c r="E427" s="16" t="str">
        <f>IF(A427="","",IF(Clean_Data!G427="","FAIL","PASS"))</f>
        <v/>
      </c>
      <c r="F427" s="16" t="str">
        <f>IF(A427="","",IF(Clean_Data!G427="","OK",IF(Clean_Data!G427&gt;16,"FLAG","OK")))</f>
        <v/>
      </c>
      <c r="G427" s="16" t="str">
        <f>IF(A427="","",IF(Clean_Data!H427="","FAIL","PASS"))</f>
        <v/>
      </c>
      <c r="H427" s="16" t="str">
        <f>IF(A427="","",IF(OR(Clean_Data!D427="",Clean_Data!K427="NO"),"FAIL","PASS"))</f>
        <v/>
      </c>
      <c r="I427" s="16" t="str">
        <f t="shared" si="18"/>
        <v/>
      </c>
      <c r="J427" s="17" t="str">
        <f t="shared" si="19"/>
        <v/>
      </c>
      <c r="K427" s="16" t="str">
        <f t="shared" si="20"/>
        <v/>
      </c>
    </row>
    <row r="428" spans="1:11" x14ac:dyDescent="0.35">
      <c r="A428" s="8" t="str">
        <f>Clean_Data!A428</f>
        <v/>
      </c>
      <c r="B428" s="16" t="str">
        <f>IF(A428="","",IF(Clean_Data!C428="","FAIL","PASS"))</f>
        <v/>
      </c>
      <c r="C428" s="16" t="str">
        <f>IF(A428="","",IF(AND(Clean_Data!C428&lt;&gt;"",Clean_Data!J428="NO"),"FAIL","PASS"))</f>
        <v/>
      </c>
      <c r="D428" s="16" t="str">
        <f>IF(A428="","",IF(Clean_Data!E428="","FAIL","PASS"))</f>
        <v/>
      </c>
      <c r="E428" s="16" t="str">
        <f>IF(A428="","",IF(Clean_Data!G428="","FAIL","PASS"))</f>
        <v/>
      </c>
      <c r="F428" s="16" t="str">
        <f>IF(A428="","",IF(Clean_Data!G428="","OK",IF(Clean_Data!G428&gt;16,"FLAG","OK")))</f>
        <v/>
      </c>
      <c r="G428" s="16" t="str">
        <f>IF(A428="","",IF(Clean_Data!H428="","FAIL","PASS"))</f>
        <v/>
      </c>
      <c r="H428" s="16" t="str">
        <f>IF(A428="","",IF(OR(Clean_Data!D428="",Clean_Data!K428="NO"),"FAIL","PASS"))</f>
        <v/>
      </c>
      <c r="I428" s="16" t="str">
        <f t="shared" si="18"/>
        <v/>
      </c>
      <c r="J428" s="17" t="str">
        <f t="shared" si="19"/>
        <v/>
      </c>
      <c r="K428" s="16" t="str">
        <f t="shared" si="20"/>
        <v/>
      </c>
    </row>
    <row r="429" spans="1:11" x14ac:dyDescent="0.35">
      <c r="A429" s="8" t="str">
        <f>Clean_Data!A429</f>
        <v/>
      </c>
      <c r="B429" s="16" t="str">
        <f>IF(A429="","",IF(Clean_Data!C429="","FAIL","PASS"))</f>
        <v/>
      </c>
      <c r="C429" s="16" t="str">
        <f>IF(A429="","",IF(AND(Clean_Data!C429&lt;&gt;"",Clean_Data!J429="NO"),"FAIL","PASS"))</f>
        <v/>
      </c>
      <c r="D429" s="16" t="str">
        <f>IF(A429="","",IF(Clean_Data!E429="","FAIL","PASS"))</f>
        <v/>
      </c>
      <c r="E429" s="16" t="str">
        <f>IF(A429="","",IF(Clean_Data!G429="","FAIL","PASS"))</f>
        <v/>
      </c>
      <c r="F429" s="16" t="str">
        <f>IF(A429="","",IF(Clean_Data!G429="","OK",IF(Clean_Data!G429&gt;16,"FLAG","OK")))</f>
        <v/>
      </c>
      <c r="G429" s="16" t="str">
        <f>IF(A429="","",IF(Clean_Data!H429="","FAIL","PASS"))</f>
        <v/>
      </c>
      <c r="H429" s="16" t="str">
        <f>IF(A429="","",IF(OR(Clean_Data!D429="",Clean_Data!K429="NO"),"FAIL","PASS"))</f>
        <v/>
      </c>
      <c r="I429" s="16" t="str">
        <f t="shared" si="18"/>
        <v/>
      </c>
      <c r="J429" s="17" t="str">
        <f t="shared" si="19"/>
        <v/>
      </c>
      <c r="K429" s="16" t="str">
        <f t="shared" si="20"/>
        <v/>
      </c>
    </row>
    <row r="430" spans="1:11" x14ac:dyDescent="0.35">
      <c r="A430" s="8" t="str">
        <f>Clean_Data!A430</f>
        <v/>
      </c>
      <c r="B430" s="16" t="str">
        <f>IF(A430="","",IF(Clean_Data!C430="","FAIL","PASS"))</f>
        <v/>
      </c>
      <c r="C430" s="16" t="str">
        <f>IF(A430="","",IF(AND(Clean_Data!C430&lt;&gt;"",Clean_Data!J430="NO"),"FAIL","PASS"))</f>
        <v/>
      </c>
      <c r="D430" s="16" t="str">
        <f>IF(A430="","",IF(Clean_Data!E430="","FAIL","PASS"))</f>
        <v/>
      </c>
      <c r="E430" s="16" t="str">
        <f>IF(A430="","",IF(Clean_Data!G430="","FAIL","PASS"))</f>
        <v/>
      </c>
      <c r="F430" s="16" t="str">
        <f>IF(A430="","",IF(Clean_Data!G430="","OK",IF(Clean_Data!G430&gt;16,"FLAG","OK")))</f>
        <v/>
      </c>
      <c r="G430" s="16" t="str">
        <f>IF(A430="","",IF(Clean_Data!H430="","FAIL","PASS"))</f>
        <v/>
      </c>
      <c r="H430" s="16" t="str">
        <f>IF(A430="","",IF(OR(Clean_Data!D430="",Clean_Data!K430="NO"),"FAIL","PASS"))</f>
        <v/>
      </c>
      <c r="I430" s="16" t="str">
        <f t="shared" si="18"/>
        <v/>
      </c>
      <c r="J430" s="17" t="str">
        <f t="shared" si="19"/>
        <v/>
      </c>
      <c r="K430" s="16" t="str">
        <f t="shared" si="20"/>
        <v/>
      </c>
    </row>
    <row r="431" spans="1:11" x14ac:dyDescent="0.35">
      <c r="A431" s="8" t="str">
        <f>Clean_Data!A431</f>
        <v/>
      </c>
      <c r="B431" s="16" t="str">
        <f>IF(A431="","",IF(Clean_Data!C431="","FAIL","PASS"))</f>
        <v/>
      </c>
      <c r="C431" s="16" t="str">
        <f>IF(A431="","",IF(AND(Clean_Data!C431&lt;&gt;"",Clean_Data!J431="NO"),"FAIL","PASS"))</f>
        <v/>
      </c>
      <c r="D431" s="16" t="str">
        <f>IF(A431="","",IF(Clean_Data!E431="","FAIL","PASS"))</f>
        <v/>
      </c>
      <c r="E431" s="16" t="str">
        <f>IF(A431="","",IF(Clean_Data!G431="","FAIL","PASS"))</f>
        <v/>
      </c>
      <c r="F431" s="16" t="str">
        <f>IF(A431="","",IF(Clean_Data!G431="","OK",IF(Clean_Data!G431&gt;16,"FLAG","OK")))</f>
        <v/>
      </c>
      <c r="G431" s="16" t="str">
        <f>IF(A431="","",IF(Clean_Data!H431="","FAIL","PASS"))</f>
        <v/>
      </c>
      <c r="H431" s="16" t="str">
        <f>IF(A431="","",IF(OR(Clean_Data!D431="",Clean_Data!K431="NO"),"FAIL","PASS"))</f>
        <v/>
      </c>
      <c r="I431" s="16" t="str">
        <f t="shared" si="18"/>
        <v/>
      </c>
      <c r="J431" s="17" t="str">
        <f t="shared" si="19"/>
        <v/>
      </c>
      <c r="K431" s="16" t="str">
        <f t="shared" si="20"/>
        <v/>
      </c>
    </row>
    <row r="432" spans="1:11" x14ac:dyDescent="0.35">
      <c r="A432" s="8" t="str">
        <f>Clean_Data!A432</f>
        <v/>
      </c>
      <c r="B432" s="16" t="str">
        <f>IF(A432="","",IF(Clean_Data!C432="","FAIL","PASS"))</f>
        <v/>
      </c>
      <c r="C432" s="16" t="str">
        <f>IF(A432="","",IF(AND(Clean_Data!C432&lt;&gt;"",Clean_Data!J432="NO"),"FAIL","PASS"))</f>
        <v/>
      </c>
      <c r="D432" s="16" t="str">
        <f>IF(A432="","",IF(Clean_Data!E432="","FAIL","PASS"))</f>
        <v/>
      </c>
      <c r="E432" s="16" t="str">
        <f>IF(A432="","",IF(Clean_Data!G432="","FAIL","PASS"))</f>
        <v/>
      </c>
      <c r="F432" s="16" t="str">
        <f>IF(A432="","",IF(Clean_Data!G432="","OK",IF(Clean_Data!G432&gt;16,"FLAG","OK")))</f>
        <v/>
      </c>
      <c r="G432" s="16" t="str">
        <f>IF(A432="","",IF(Clean_Data!H432="","FAIL","PASS"))</f>
        <v/>
      </c>
      <c r="H432" s="16" t="str">
        <f>IF(A432="","",IF(OR(Clean_Data!D432="",Clean_Data!K432="NO"),"FAIL","PASS"))</f>
        <v/>
      </c>
      <c r="I432" s="16" t="str">
        <f t="shared" si="18"/>
        <v/>
      </c>
      <c r="J432" s="17" t="str">
        <f t="shared" si="19"/>
        <v/>
      </c>
      <c r="K432" s="16" t="str">
        <f t="shared" si="20"/>
        <v/>
      </c>
    </row>
    <row r="433" spans="1:11" x14ac:dyDescent="0.35">
      <c r="A433" s="8" t="str">
        <f>Clean_Data!A433</f>
        <v/>
      </c>
      <c r="B433" s="16" t="str">
        <f>IF(A433="","",IF(Clean_Data!C433="","FAIL","PASS"))</f>
        <v/>
      </c>
      <c r="C433" s="16" t="str">
        <f>IF(A433="","",IF(AND(Clean_Data!C433&lt;&gt;"",Clean_Data!J433="NO"),"FAIL","PASS"))</f>
        <v/>
      </c>
      <c r="D433" s="16" t="str">
        <f>IF(A433="","",IF(Clean_Data!E433="","FAIL","PASS"))</f>
        <v/>
      </c>
      <c r="E433" s="16" t="str">
        <f>IF(A433="","",IF(Clean_Data!G433="","FAIL","PASS"))</f>
        <v/>
      </c>
      <c r="F433" s="16" t="str">
        <f>IF(A433="","",IF(Clean_Data!G433="","OK",IF(Clean_Data!G433&gt;16,"FLAG","OK")))</f>
        <v/>
      </c>
      <c r="G433" s="16" t="str">
        <f>IF(A433="","",IF(Clean_Data!H433="","FAIL","PASS"))</f>
        <v/>
      </c>
      <c r="H433" s="16" t="str">
        <f>IF(A433="","",IF(OR(Clean_Data!D433="",Clean_Data!K433="NO"),"FAIL","PASS"))</f>
        <v/>
      </c>
      <c r="I433" s="16" t="str">
        <f t="shared" si="18"/>
        <v/>
      </c>
      <c r="J433" s="17" t="str">
        <f t="shared" si="19"/>
        <v/>
      </c>
      <c r="K433" s="16" t="str">
        <f t="shared" si="20"/>
        <v/>
      </c>
    </row>
    <row r="434" spans="1:11" x14ac:dyDescent="0.35">
      <c r="A434" s="8" t="str">
        <f>Clean_Data!A434</f>
        <v/>
      </c>
      <c r="B434" s="16" t="str">
        <f>IF(A434="","",IF(Clean_Data!C434="","FAIL","PASS"))</f>
        <v/>
      </c>
      <c r="C434" s="16" t="str">
        <f>IF(A434="","",IF(AND(Clean_Data!C434&lt;&gt;"",Clean_Data!J434="NO"),"FAIL","PASS"))</f>
        <v/>
      </c>
      <c r="D434" s="16" t="str">
        <f>IF(A434="","",IF(Clean_Data!E434="","FAIL","PASS"))</f>
        <v/>
      </c>
      <c r="E434" s="16" t="str">
        <f>IF(A434="","",IF(Clean_Data!G434="","FAIL","PASS"))</f>
        <v/>
      </c>
      <c r="F434" s="16" t="str">
        <f>IF(A434="","",IF(Clean_Data!G434="","OK",IF(Clean_Data!G434&gt;16,"FLAG","OK")))</f>
        <v/>
      </c>
      <c r="G434" s="16" t="str">
        <f>IF(A434="","",IF(Clean_Data!H434="","FAIL","PASS"))</f>
        <v/>
      </c>
      <c r="H434" s="16" t="str">
        <f>IF(A434="","",IF(OR(Clean_Data!D434="",Clean_Data!K434="NO"),"FAIL","PASS"))</f>
        <v/>
      </c>
      <c r="I434" s="16" t="str">
        <f t="shared" si="18"/>
        <v/>
      </c>
      <c r="J434" s="17" t="str">
        <f t="shared" si="19"/>
        <v/>
      </c>
      <c r="K434" s="16" t="str">
        <f t="shared" si="20"/>
        <v/>
      </c>
    </row>
    <row r="435" spans="1:11" x14ac:dyDescent="0.35">
      <c r="A435" s="8" t="str">
        <f>Clean_Data!A435</f>
        <v/>
      </c>
      <c r="B435" s="16" t="str">
        <f>IF(A435="","",IF(Clean_Data!C435="","FAIL","PASS"))</f>
        <v/>
      </c>
      <c r="C435" s="16" t="str">
        <f>IF(A435="","",IF(AND(Clean_Data!C435&lt;&gt;"",Clean_Data!J435="NO"),"FAIL","PASS"))</f>
        <v/>
      </c>
      <c r="D435" s="16" t="str">
        <f>IF(A435="","",IF(Clean_Data!E435="","FAIL","PASS"))</f>
        <v/>
      </c>
      <c r="E435" s="16" t="str">
        <f>IF(A435="","",IF(Clean_Data!G435="","FAIL","PASS"))</f>
        <v/>
      </c>
      <c r="F435" s="16" t="str">
        <f>IF(A435="","",IF(Clean_Data!G435="","OK",IF(Clean_Data!G435&gt;16,"FLAG","OK")))</f>
        <v/>
      </c>
      <c r="G435" s="16" t="str">
        <f>IF(A435="","",IF(Clean_Data!H435="","FAIL","PASS"))</f>
        <v/>
      </c>
      <c r="H435" s="16" t="str">
        <f>IF(A435="","",IF(OR(Clean_Data!D435="",Clean_Data!K435="NO"),"FAIL","PASS"))</f>
        <v/>
      </c>
      <c r="I435" s="16" t="str">
        <f t="shared" si="18"/>
        <v/>
      </c>
      <c r="J435" s="17" t="str">
        <f t="shared" si="19"/>
        <v/>
      </c>
      <c r="K435" s="16" t="str">
        <f t="shared" si="20"/>
        <v/>
      </c>
    </row>
    <row r="436" spans="1:11" x14ac:dyDescent="0.35">
      <c r="A436" s="8" t="str">
        <f>Clean_Data!A436</f>
        <v/>
      </c>
      <c r="B436" s="16" t="str">
        <f>IF(A436="","",IF(Clean_Data!C436="","FAIL","PASS"))</f>
        <v/>
      </c>
      <c r="C436" s="16" t="str">
        <f>IF(A436="","",IF(AND(Clean_Data!C436&lt;&gt;"",Clean_Data!J436="NO"),"FAIL","PASS"))</f>
        <v/>
      </c>
      <c r="D436" s="16" t="str">
        <f>IF(A436="","",IF(Clean_Data!E436="","FAIL","PASS"))</f>
        <v/>
      </c>
      <c r="E436" s="16" t="str">
        <f>IF(A436="","",IF(Clean_Data!G436="","FAIL","PASS"))</f>
        <v/>
      </c>
      <c r="F436" s="16" t="str">
        <f>IF(A436="","",IF(Clean_Data!G436="","OK",IF(Clean_Data!G436&gt;16,"FLAG","OK")))</f>
        <v/>
      </c>
      <c r="G436" s="16" t="str">
        <f>IF(A436="","",IF(Clean_Data!H436="","FAIL","PASS"))</f>
        <v/>
      </c>
      <c r="H436" s="16" t="str">
        <f>IF(A436="","",IF(OR(Clean_Data!D436="",Clean_Data!K436="NO"),"FAIL","PASS"))</f>
        <v/>
      </c>
      <c r="I436" s="16" t="str">
        <f t="shared" si="18"/>
        <v/>
      </c>
      <c r="J436" s="17" t="str">
        <f t="shared" si="19"/>
        <v/>
      </c>
      <c r="K436" s="16" t="str">
        <f t="shared" si="20"/>
        <v/>
      </c>
    </row>
    <row r="437" spans="1:11" x14ac:dyDescent="0.35">
      <c r="A437" s="8" t="str">
        <f>Clean_Data!A437</f>
        <v/>
      </c>
      <c r="B437" s="16" t="str">
        <f>IF(A437="","",IF(Clean_Data!C437="","FAIL","PASS"))</f>
        <v/>
      </c>
      <c r="C437" s="16" t="str">
        <f>IF(A437="","",IF(AND(Clean_Data!C437&lt;&gt;"",Clean_Data!J437="NO"),"FAIL","PASS"))</f>
        <v/>
      </c>
      <c r="D437" s="16" t="str">
        <f>IF(A437="","",IF(Clean_Data!E437="","FAIL","PASS"))</f>
        <v/>
      </c>
      <c r="E437" s="16" t="str">
        <f>IF(A437="","",IF(Clean_Data!G437="","FAIL","PASS"))</f>
        <v/>
      </c>
      <c r="F437" s="16" t="str">
        <f>IF(A437="","",IF(Clean_Data!G437="","OK",IF(Clean_Data!G437&gt;16,"FLAG","OK")))</f>
        <v/>
      </c>
      <c r="G437" s="16" t="str">
        <f>IF(A437="","",IF(Clean_Data!H437="","FAIL","PASS"))</f>
        <v/>
      </c>
      <c r="H437" s="16" t="str">
        <f>IF(A437="","",IF(OR(Clean_Data!D437="",Clean_Data!K437="NO"),"FAIL","PASS"))</f>
        <v/>
      </c>
      <c r="I437" s="16" t="str">
        <f t="shared" si="18"/>
        <v/>
      </c>
      <c r="J437" s="17" t="str">
        <f t="shared" si="19"/>
        <v/>
      </c>
      <c r="K437" s="16" t="str">
        <f t="shared" si="20"/>
        <v/>
      </c>
    </row>
    <row r="438" spans="1:11" x14ac:dyDescent="0.35">
      <c r="A438" s="8" t="str">
        <f>Clean_Data!A438</f>
        <v/>
      </c>
      <c r="B438" s="16" t="str">
        <f>IF(A438="","",IF(Clean_Data!C438="","FAIL","PASS"))</f>
        <v/>
      </c>
      <c r="C438" s="16" t="str">
        <f>IF(A438="","",IF(AND(Clean_Data!C438&lt;&gt;"",Clean_Data!J438="NO"),"FAIL","PASS"))</f>
        <v/>
      </c>
      <c r="D438" s="16" t="str">
        <f>IF(A438="","",IF(Clean_Data!E438="","FAIL","PASS"))</f>
        <v/>
      </c>
      <c r="E438" s="16" t="str">
        <f>IF(A438="","",IF(Clean_Data!G438="","FAIL","PASS"))</f>
        <v/>
      </c>
      <c r="F438" s="16" t="str">
        <f>IF(A438="","",IF(Clean_Data!G438="","OK",IF(Clean_Data!G438&gt;16,"FLAG","OK")))</f>
        <v/>
      </c>
      <c r="G438" s="16" t="str">
        <f>IF(A438="","",IF(Clean_Data!H438="","FAIL","PASS"))</f>
        <v/>
      </c>
      <c r="H438" s="16" t="str">
        <f>IF(A438="","",IF(OR(Clean_Data!D438="",Clean_Data!K438="NO"),"FAIL","PASS"))</f>
        <v/>
      </c>
      <c r="I438" s="16" t="str">
        <f t="shared" si="18"/>
        <v/>
      </c>
      <c r="J438" s="17" t="str">
        <f t="shared" si="19"/>
        <v/>
      </c>
      <c r="K438" s="16" t="str">
        <f t="shared" si="20"/>
        <v/>
      </c>
    </row>
    <row r="439" spans="1:11" x14ac:dyDescent="0.35">
      <c r="A439" s="8" t="str">
        <f>Clean_Data!A439</f>
        <v/>
      </c>
      <c r="B439" s="16" t="str">
        <f>IF(A439="","",IF(Clean_Data!C439="","FAIL","PASS"))</f>
        <v/>
      </c>
      <c r="C439" s="16" t="str">
        <f>IF(A439="","",IF(AND(Clean_Data!C439&lt;&gt;"",Clean_Data!J439="NO"),"FAIL","PASS"))</f>
        <v/>
      </c>
      <c r="D439" s="16" t="str">
        <f>IF(A439="","",IF(Clean_Data!E439="","FAIL","PASS"))</f>
        <v/>
      </c>
      <c r="E439" s="16" t="str">
        <f>IF(A439="","",IF(Clean_Data!G439="","FAIL","PASS"))</f>
        <v/>
      </c>
      <c r="F439" s="16" t="str">
        <f>IF(A439="","",IF(Clean_Data!G439="","OK",IF(Clean_Data!G439&gt;16,"FLAG","OK")))</f>
        <v/>
      </c>
      <c r="G439" s="16" t="str">
        <f>IF(A439="","",IF(Clean_Data!H439="","FAIL","PASS"))</f>
        <v/>
      </c>
      <c r="H439" s="16" t="str">
        <f>IF(A439="","",IF(OR(Clean_Data!D439="",Clean_Data!K439="NO"),"FAIL","PASS"))</f>
        <v/>
      </c>
      <c r="I439" s="16" t="str">
        <f t="shared" si="18"/>
        <v/>
      </c>
      <c r="J439" s="17" t="str">
        <f t="shared" si="19"/>
        <v/>
      </c>
      <c r="K439" s="16" t="str">
        <f t="shared" si="20"/>
        <v/>
      </c>
    </row>
    <row r="440" spans="1:11" x14ac:dyDescent="0.35">
      <c r="A440" s="8" t="str">
        <f>Clean_Data!A440</f>
        <v/>
      </c>
      <c r="B440" s="16" t="str">
        <f>IF(A440="","",IF(Clean_Data!C440="","FAIL","PASS"))</f>
        <v/>
      </c>
      <c r="C440" s="16" t="str">
        <f>IF(A440="","",IF(AND(Clean_Data!C440&lt;&gt;"",Clean_Data!J440="NO"),"FAIL","PASS"))</f>
        <v/>
      </c>
      <c r="D440" s="16" t="str">
        <f>IF(A440="","",IF(Clean_Data!E440="","FAIL","PASS"))</f>
        <v/>
      </c>
      <c r="E440" s="16" t="str">
        <f>IF(A440="","",IF(Clean_Data!G440="","FAIL","PASS"))</f>
        <v/>
      </c>
      <c r="F440" s="16" t="str">
        <f>IF(A440="","",IF(Clean_Data!G440="","OK",IF(Clean_Data!G440&gt;16,"FLAG","OK")))</f>
        <v/>
      </c>
      <c r="G440" s="16" t="str">
        <f>IF(A440="","",IF(Clean_Data!H440="","FAIL","PASS"))</f>
        <v/>
      </c>
      <c r="H440" s="16" t="str">
        <f>IF(A440="","",IF(OR(Clean_Data!D440="",Clean_Data!K440="NO"),"FAIL","PASS"))</f>
        <v/>
      </c>
      <c r="I440" s="16" t="str">
        <f t="shared" si="18"/>
        <v/>
      </c>
      <c r="J440" s="17" t="str">
        <f t="shared" si="19"/>
        <v/>
      </c>
      <c r="K440" s="16" t="str">
        <f t="shared" si="20"/>
        <v/>
      </c>
    </row>
    <row r="441" spans="1:11" x14ac:dyDescent="0.35">
      <c r="A441" s="8" t="str">
        <f>Clean_Data!A441</f>
        <v/>
      </c>
      <c r="B441" s="16" t="str">
        <f>IF(A441="","",IF(Clean_Data!C441="","FAIL","PASS"))</f>
        <v/>
      </c>
      <c r="C441" s="16" t="str">
        <f>IF(A441="","",IF(AND(Clean_Data!C441&lt;&gt;"",Clean_Data!J441="NO"),"FAIL","PASS"))</f>
        <v/>
      </c>
      <c r="D441" s="16" t="str">
        <f>IF(A441="","",IF(Clean_Data!E441="","FAIL","PASS"))</f>
        <v/>
      </c>
      <c r="E441" s="16" t="str">
        <f>IF(A441="","",IF(Clean_Data!G441="","FAIL","PASS"))</f>
        <v/>
      </c>
      <c r="F441" s="16" t="str">
        <f>IF(A441="","",IF(Clean_Data!G441="","OK",IF(Clean_Data!G441&gt;16,"FLAG","OK")))</f>
        <v/>
      </c>
      <c r="G441" s="16" t="str">
        <f>IF(A441="","",IF(Clean_Data!H441="","FAIL","PASS"))</f>
        <v/>
      </c>
      <c r="H441" s="16" t="str">
        <f>IF(A441="","",IF(OR(Clean_Data!D441="",Clean_Data!K441="NO"),"FAIL","PASS"))</f>
        <v/>
      </c>
      <c r="I441" s="16" t="str">
        <f t="shared" si="18"/>
        <v/>
      </c>
      <c r="J441" s="17" t="str">
        <f t="shared" si="19"/>
        <v/>
      </c>
      <c r="K441" s="16" t="str">
        <f t="shared" si="20"/>
        <v/>
      </c>
    </row>
    <row r="442" spans="1:11" x14ac:dyDescent="0.35">
      <c r="A442" s="8" t="str">
        <f>Clean_Data!A442</f>
        <v/>
      </c>
      <c r="B442" s="16" t="str">
        <f>IF(A442="","",IF(Clean_Data!C442="","FAIL","PASS"))</f>
        <v/>
      </c>
      <c r="C442" s="16" t="str">
        <f>IF(A442="","",IF(AND(Clean_Data!C442&lt;&gt;"",Clean_Data!J442="NO"),"FAIL","PASS"))</f>
        <v/>
      </c>
      <c r="D442" s="16" t="str">
        <f>IF(A442="","",IF(Clean_Data!E442="","FAIL","PASS"))</f>
        <v/>
      </c>
      <c r="E442" s="16" t="str">
        <f>IF(A442="","",IF(Clean_Data!G442="","FAIL","PASS"))</f>
        <v/>
      </c>
      <c r="F442" s="16" t="str">
        <f>IF(A442="","",IF(Clean_Data!G442="","OK",IF(Clean_Data!G442&gt;16,"FLAG","OK")))</f>
        <v/>
      </c>
      <c r="G442" s="16" t="str">
        <f>IF(A442="","",IF(Clean_Data!H442="","FAIL","PASS"))</f>
        <v/>
      </c>
      <c r="H442" s="16" t="str">
        <f>IF(A442="","",IF(OR(Clean_Data!D442="",Clean_Data!K442="NO"),"FAIL","PASS"))</f>
        <v/>
      </c>
      <c r="I442" s="16" t="str">
        <f t="shared" si="18"/>
        <v/>
      </c>
      <c r="J442" s="17" t="str">
        <f t="shared" si="19"/>
        <v/>
      </c>
      <c r="K442" s="16" t="str">
        <f t="shared" si="20"/>
        <v/>
      </c>
    </row>
    <row r="443" spans="1:11" x14ac:dyDescent="0.35">
      <c r="A443" s="8" t="str">
        <f>Clean_Data!A443</f>
        <v/>
      </c>
      <c r="B443" s="16" t="str">
        <f>IF(A443="","",IF(Clean_Data!C443="","FAIL","PASS"))</f>
        <v/>
      </c>
      <c r="C443" s="16" t="str">
        <f>IF(A443="","",IF(AND(Clean_Data!C443&lt;&gt;"",Clean_Data!J443="NO"),"FAIL","PASS"))</f>
        <v/>
      </c>
      <c r="D443" s="16" t="str">
        <f>IF(A443="","",IF(Clean_Data!E443="","FAIL","PASS"))</f>
        <v/>
      </c>
      <c r="E443" s="16" t="str">
        <f>IF(A443="","",IF(Clean_Data!G443="","FAIL","PASS"))</f>
        <v/>
      </c>
      <c r="F443" s="16" t="str">
        <f>IF(A443="","",IF(Clean_Data!G443="","OK",IF(Clean_Data!G443&gt;16,"FLAG","OK")))</f>
        <v/>
      </c>
      <c r="G443" s="16" t="str">
        <f>IF(A443="","",IF(Clean_Data!H443="","FAIL","PASS"))</f>
        <v/>
      </c>
      <c r="H443" s="16" t="str">
        <f>IF(A443="","",IF(OR(Clean_Data!D443="",Clean_Data!K443="NO"),"FAIL","PASS"))</f>
        <v/>
      </c>
      <c r="I443" s="16" t="str">
        <f t="shared" si="18"/>
        <v/>
      </c>
      <c r="J443" s="17" t="str">
        <f t="shared" si="19"/>
        <v/>
      </c>
      <c r="K443" s="16" t="str">
        <f t="shared" si="20"/>
        <v/>
      </c>
    </row>
    <row r="444" spans="1:11" x14ac:dyDescent="0.35">
      <c r="A444" s="8" t="str">
        <f>Clean_Data!A444</f>
        <v/>
      </c>
      <c r="B444" s="16" t="str">
        <f>IF(A444="","",IF(Clean_Data!C444="","FAIL","PASS"))</f>
        <v/>
      </c>
      <c r="C444" s="16" t="str">
        <f>IF(A444="","",IF(AND(Clean_Data!C444&lt;&gt;"",Clean_Data!J444="NO"),"FAIL","PASS"))</f>
        <v/>
      </c>
      <c r="D444" s="16" t="str">
        <f>IF(A444="","",IF(Clean_Data!E444="","FAIL","PASS"))</f>
        <v/>
      </c>
      <c r="E444" s="16" t="str">
        <f>IF(A444="","",IF(Clean_Data!G444="","FAIL","PASS"))</f>
        <v/>
      </c>
      <c r="F444" s="16" t="str">
        <f>IF(A444="","",IF(Clean_Data!G444="","OK",IF(Clean_Data!G444&gt;16,"FLAG","OK")))</f>
        <v/>
      </c>
      <c r="G444" s="16" t="str">
        <f>IF(A444="","",IF(Clean_Data!H444="","FAIL","PASS"))</f>
        <v/>
      </c>
      <c r="H444" s="16" t="str">
        <f>IF(A444="","",IF(OR(Clean_Data!D444="",Clean_Data!K444="NO"),"FAIL","PASS"))</f>
        <v/>
      </c>
      <c r="I444" s="16" t="str">
        <f t="shared" si="18"/>
        <v/>
      </c>
      <c r="J444" s="17" t="str">
        <f t="shared" si="19"/>
        <v/>
      </c>
      <c r="K444" s="16" t="str">
        <f t="shared" si="20"/>
        <v/>
      </c>
    </row>
    <row r="445" spans="1:11" x14ac:dyDescent="0.35">
      <c r="A445" s="8" t="str">
        <f>Clean_Data!A445</f>
        <v/>
      </c>
      <c r="B445" s="16" t="str">
        <f>IF(A445="","",IF(Clean_Data!C445="","FAIL","PASS"))</f>
        <v/>
      </c>
      <c r="C445" s="16" t="str">
        <f>IF(A445="","",IF(AND(Clean_Data!C445&lt;&gt;"",Clean_Data!J445="NO"),"FAIL","PASS"))</f>
        <v/>
      </c>
      <c r="D445" s="16" t="str">
        <f>IF(A445="","",IF(Clean_Data!E445="","FAIL","PASS"))</f>
        <v/>
      </c>
      <c r="E445" s="16" t="str">
        <f>IF(A445="","",IF(Clean_Data!G445="","FAIL","PASS"))</f>
        <v/>
      </c>
      <c r="F445" s="16" t="str">
        <f>IF(A445="","",IF(Clean_Data!G445="","OK",IF(Clean_Data!G445&gt;16,"FLAG","OK")))</f>
        <v/>
      </c>
      <c r="G445" s="16" t="str">
        <f>IF(A445="","",IF(Clean_Data!H445="","FAIL","PASS"))</f>
        <v/>
      </c>
      <c r="H445" s="16" t="str">
        <f>IF(A445="","",IF(OR(Clean_Data!D445="",Clean_Data!K445="NO"),"FAIL","PASS"))</f>
        <v/>
      </c>
      <c r="I445" s="16" t="str">
        <f t="shared" si="18"/>
        <v/>
      </c>
      <c r="J445" s="17" t="str">
        <f t="shared" si="19"/>
        <v/>
      </c>
      <c r="K445" s="16" t="str">
        <f t="shared" si="20"/>
        <v/>
      </c>
    </row>
    <row r="446" spans="1:11" x14ac:dyDescent="0.35">
      <c r="A446" s="8" t="str">
        <f>Clean_Data!A446</f>
        <v/>
      </c>
      <c r="B446" s="16" t="str">
        <f>IF(A446="","",IF(Clean_Data!C446="","FAIL","PASS"))</f>
        <v/>
      </c>
      <c r="C446" s="16" t="str">
        <f>IF(A446="","",IF(AND(Clean_Data!C446&lt;&gt;"",Clean_Data!J446="NO"),"FAIL","PASS"))</f>
        <v/>
      </c>
      <c r="D446" s="16" t="str">
        <f>IF(A446="","",IF(Clean_Data!E446="","FAIL","PASS"))</f>
        <v/>
      </c>
      <c r="E446" s="16" t="str">
        <f>IF(A446="","",IF(Clean_Data!G446="","FAIL","PASS"))</f>
        <v/>
      </c>
      <c r="F446" s="16" t="str">
        <f>IF(A446="","",IF(Clean_Data!G446="","OK",IF(Clean_Data!G446&gt;16,"FLAG","OK")))</f>
        <v/>
      </c>
      <c r="G446" s="16" t="str">
        <f>IF(A446="","",IF(Clean_Data!H446="","FAIL","PASS"))</f>
        <v/>
      </c>
      <c r="H446" s="16" t="str">
        <f>IF(A446="","",IF(OR(Clean_Data!D446="",Clean_Data!K446="NO"),"FAIL","PASS"))</f>
        <v/>
      </c>
      <c r="I446" s="16" t="str">
        <f t="shared" si="18"/>
        <v/>
      </c>
      <c r="J446" s="17" t="str">
        <f t="shared" si="19"/>
        <v/>
      </c>
      <c r="K446" s="16" t="str">
        <f t="shared" si="20"/>
        <v/>
      </c>
    </row>
    <row r="447" spans="1:11" x14ac:dyDescent="0.35">
      <c r="A447" s="8" t="str">
        <f>Clean_Data!A447</f>
        <v/>
      </c>
      <c r="B447" s="16" t="str">
        <f>IF(A447="","",IF(Clean_Data!C447="","FAIL","PASS"))</f>
        <v/>
      </c>
      <c r="C447" s="16" t="str">
        <f>IF(A447="","",IF(AND(Clean_Data!C447&lt;&gt;"",Clean_Data!J447="NO"),"FAIL","PASS"))</f>
        <v/>
      </c>
      <c r="D447" s="16" t="str">
        <f>IF(A447="","",IF(Clean_Data!E447="","FAIL","PASS"))</f>
        <v/>
      </c>
      <c r="E447" s="16" t="str">
        <f>IF(A447="","",IF(Clean_Data!G447="","FAIL","PASS"))</f>
        <v/>
      </c>
      <c r="F447" s="16" t="str">
        <f>IF(A447="","",IF(Clean_Data!G447="","OK",IF(Clean_Data!G447&gt;16,"FLAG","OK")))</f>
        <v/>
      </c>
      <c r="G447" s="16" t="str">
        <f>IF(A447="","",IF(Clean_Data!H447="","FAIL","PASS"))</f>
        <v/>
      </c>
      <c r="H447" s="16" t="str">
        <f>IF(A447="","",IF(OR(Clean_Data!D447="",Clean_Data!K447="NO"),"FAIL","PASS"))</f>
        <v/>
      </c>
      <c r="I447" s="16" t="str">
        <f t="shared" si="18"/>
        <v/>
      </c>
      <c r="J447" s="17" t="str">
        <f t="shared" si="19"/>
        <v/>
      </c>
      <c r="K447" s="16" t="str">
        <f t="shared" si="20"/>
        <v/>
      </c>
    </row>
    <row r="448" spans="1:11" x14ac:dyDescent="0.35">
      <c r="A448" s="8" t="str">
        <f>Clean_Data!A448</f>
        <v/>
      </c>
      <c r="B448" s="16" t="str">
        <f>IF(A448="","",IF(Clean_Data!C448="","FAIL","PASS"))</f>
        <v/>
      </c>
      <c r="C448" s="16" t="str">
        <f>IF(A448="","",IF(AND(Clean_Data!C448&lt;&gt;"",Clean_Data!J448="NO"),"FAIL","PASS"))</f>
        <v/>
      </c>
      <c r="D448" s="16" t="str">
        <f>IF(A448="","",IF(Clean_Data!E448="","FAIL","PASS"))</f>
        <v/>
      </c>
      <c r="E448" s="16" t="str">
        <f>IF(A448="","",IF(Clean_Data!G448="","FAIL","PASS"))</f>
        <v/>
      </c>
      <c r="F448" s="16" t="str">
        <f>IF(A448="","",IF(Clean_Data!G448="","OK",IF(Clean_Data!G448&gt;16,"FLAG","OK")))</f>
        <v/>
      </c>
      <c r="G448" s="16" t="str">
        <f>IF(A448="","",IF(Clean_Data!H448="","FAIL","PASS"))</f>
        <v/>
      </c>
      <c r="H448" s="16" t="str">
        <f>IF(A448="","",IF(OR(Clean_Data!D448="",Clean_Data!K448="NO"),"FAIL","PASS"))</f>
        <v/>
      </c>
      <c r="I448" s="16" t="str">
        <f t="shared" si="18"/>
        <v/>
      </c>
      <c r="J448" s="17" t="str">
        <f t="shared" si="19"/>
        <v/>
      </c>
      <c r="K448" s="16" t="str">
        <f t="shared" si="20"/>
        <v/>
      </c>
    </row>
    <row r="449" spans="1:11" x14ac:dyDescent="0.35">
      <c r="A449" s="8" t="str">
        <f>Clean_Data!A449</f>
        <v/>
      </c>
      <c r="B449" s="16" t="str">
        <f>IF(A449="","",IF(Clean_Data!C449="","FAIL","PASS"))</f>
        <v/>
      </c>
      <c r="C449" s="16" t="str">
        <f>IF(A449="","",IF(AND(Clean_Data!C449&lt;&gt;"",Clean_Data!J449="NO"),"FAIL","PASS"))</f>
        <v/>
      </c>
      <c r="D449" s="16" t="str">
        <f>IF(A449="","",IF(Clean_Data!E449="","FAIL","PASS"))</f>
        <v/>
      </c>
      <c r="E449" s="16" t="str">
        <f>IF(A449="","",IF(Clean_Data!G449="","FAIL","PASS"))</f>
        <v/>
      </c>
      <c r="F449" s="16" t="str">
        <f>IF(A449="","",IF(Clean_Data!G449="","OK",IF(Clean_Data!G449&gt;16,"FLAG","OK")))</f>
        <v/>
      </c>
      <c r="G449" s="16" t="str">
        <f>IF(A449="","",IF(Clean_Data!H449="","FAIL","PASS"))</f>
        <v/>
      </c>
      <c r="H449" s="16" t="str">
        <f>IF(A449="","",IF(OR(Clean_Data!D449="",Clean_Data!K449="NO"),"FAIL","PASS"))</f>
        <v/>
      </c>
      <c r="I449" s="16" t="str">
        <f t="shared" si="18"/>
        <v/>
      </c>
      <c r="J449" s="17" t="str">
        <f t="shared" si="19"/>
        <v/>
      </c>
      <c r="K449" s="16" t="str">
        <f t="shared" si="20"/>
        <v/>
      </c>
    </row>
    <row r="450" spans="1:11" x14ac:dyDescent="0.35">
      <c r="A450" s="8" t="str">
        <f>Clean_Data!A450</f>
        <v/>
      </c>
      <c r="B450" s="16" t="str">
        <f>IF(A450="","",IF(Clean_Data!C450="","FAIL","PASS"))</f>
        <v/>
      </c>
      <c r="C450" s="16" t="str">
        <f>IF(A450="","",IF(AND(Clean_Data!C450&lt;&gt;"",Clean_Data!J450="NO"),"FAIL","PASS"))</f>
        <v/>
      </c>
      <c r="D450" s="16" t="str">
        <f>IF(A450="","",IF(Clean_Data!E450="","FAIL","PASS"))</f>
        <v/>
      </c>
      <c r="E450" s="16" t="str">
        <f>IF(A450="","",IF(Clean_Data!G450="","FAIL","PASS"))</f>
        <v/>
      </c>
      <c r="F450" s="16" t="str">
        <f>IF(A450="","",IF(Clean_Data!G450="","OK",IF(Clean_Data!G450&gt;16,"FLAG","OK")))</f>
        <v/>
      </c>
      <c r="G450" s="16" t="str">
        <f>IF(A450="","",IF(Clean_Data!H450="","FAIL","PASS"))</f>
        <v/>
      </c>
      <c r="H450" s="16" t="str">
        <f>IF(A450="","",IF(OR(Clean_Data!D450="",Clean_Data!K450="NO"),"FAIL","PASS"))</f>
        <v/>
      </c>
      <c r="I450" s="16" t="str">
        <f t="shared" si="18"/>
        <v/>
      </c>
      <c r="J450" s="17" t="str">
        <f t="shared" si="19"/>
        <v/>
      </c>
      <c r="K450" s="16" t="str">
        <f t="shared" si="20"/>
        <v/>
      </c>
    </row>
    <row r="451" spans="1:11" x14ac:dyDescent="0.35">
      <c r="A451" s="8" t="str">
        <f>Clean_Data!A451</f>
        <v/>
      </c>
      <c r="B451" s="16" t="str">
        <f>IF(A451="","",IF(Clean_Data!C451="","FAIL","PASS"))</f>
        <v/>
      </c>
      <c r="C451" s="16" t="str">
        <f>IF(A451="","",IF(AND(Clean_Data!C451&lt;&gt;"",Clean_Data!J451="NO"),"FAIL","PASS"))</f>
        <v/>
      </c>
      <c r="D451" s="16" t="str">
        <f>IF(A451="","",IF(Clean_Data!E451="","FAIL","PASS"))</f>
        <v/>
      </c>
      <c r="E451" s="16" t="str">
        <f>IF(A451="","",IF(Clean_Data!G451="","FAIL","PASS"))</f>
        <v/>
      </c>
      <c r="F451" s="16" t="str">
        <f>IF(A451="","",IF(Clean_Data!G451="","OK",IF(Clean_Data!G451&gt;16,"FLAG","OK")))</f>
        <v/>
      </c>
      <c r="G451" s="16" t="str">
        <f>IF(A451="","",IF(Clean_Data!H451="","FAIL","PASS"))</f>
        <v/>
      </c>
      <c r="H451" s="16" t="str">
        <f>IF(A451="","",IF(OR(Clean_Data!D451="",Clean_Data!K451="NO"),"FAIL","PASS"))</f>
        <v/>
      </c>
      <c r="I451" s="16" t="str">
        <f t="shared" si="18"/>
        <v/>
      </c>
      <c r="J451" s="17" t="str">
        <f t="shared" si="19"/>
        <v/>
      </c>
      <c r="K451" s="16" t="str">
        <f t="shared" si="20"/>
        <v/>
      </c>
    </row>
    <row r="452" spans="1:11" x14ac:dyDescent="0.35">
      <c r="A452" s="8" t="str">
        <f>Clean_Data!A452</f>
        <v/>
      </c>
      <c r="B452" s="16" t="str">
        <f>IF(A452="","",IF(Clean_Data!C452="","FAIL","PASS"))</f>
        <v/>
      </c>
      <c r="C452" s="16" t="str">
        <f>IF(A452="","",IF(AND(Clean_Data!C452&lt;&gt;"",Clean_Data!J452="NO"),"FAIL","PASS"))</f>
        <v/>
      </c>
      <c r="D452" s="16" t="str">
        <f>IF(A452="","",IF(Clean_Data!E452="","FAIL","PASS"))</f>
        <v/>
      </c>
      <c r="E452" s="16" t="str">
        <f>IF(A452="","",IF(Clean_Data!G452="","FAIL","PASS"))</f>
        <v/>
      </c>
      <c r="F452" s="16" t="str">
        <f>IF(A452="","",IF(Clean_Data!G452="","OK",IF(Clean_Data!G452&gt;16,"FLAG","OK")))</f>
        <v/>
      </c>
      <c r="G452" s="16" t="str">
        <f>IF(A452="","",IF(Clean_Data!H452="","FAIL","PASS"))</f>
        <v/>
      </c>
      <c r="H452" s="16" t="str">
        <f>IF(A452="","",IF(OR(Clean_Data!D452="",Clean_Data!K452="NO"),"FAIL","PASS"))</f>
        <v/>
      </c>
      <c r="I452" s="16" t="str">
        <f t="shared" ref="I452:I515" si="21">IF(A452="","",IF(COUNTIF(B452:H452,"FAIL")&gt;0,"ERROR",IF(COUNTIF(B452:H452,"FLAG")&gt;0,"REVIEW","OK")))</f>
        <v/>
      </c>
      <c r="J452" s="17" t="str">
        <f t="shared" ref="J452:J501" si="22">IF(A452="","",IF(B452="FAIL",300,0)+IF(C452="FAIL",350,0)+IF(D452="FAIL",250,0)+IF(E452="FAIL",400,0)+IF(F452="FLAG",150,0)+IF(G452="FAIL",200,0)+IF(H452="FAIL",200,0))</f>
        <v/>
      </c>
      <c r="K452" s="16" t="str">
        <f t="shared" ref="K452:K501" si="23">IF(A452="","",IF(B452="FAIL","Missing name",IF(C452="FAIL","Unknown lineman",IF(D452="FAIL","Missing job",IF(E452="FAIL","Invalid hours",IF(F452="FLAG","Hours outlier",IF(G452="FAIL","Missing area",IF(H452="FAIL","Missing foreman","OK"))))))))</f>
        <v/>
      </c>
    </row>
    <row r="453" spans="1:11" x14ac:dyDescent="0.35">
      <c r="A453" s="8" t="str">
        <f>Clean_Data!A453</f>
        <v/>
      </c>
      <c r="B453" s="16" t="str">
        <f>IF(A453="","",IF(Clean_Data!C453="","FAIL","PASS"))</f>
        <v/>
      </c>
      <c r="C453" s="16" t="str">
        <f>IF(A453="","",IF(AND(Clean_Data!C453&lt;&gt;"",Clean_Data!J453="NO"),"FAIL","PASS"))</f>
        <v/>
      </c>
      <c r="D453" s="16" t="str">
        <f>IF(A453="","",IF(Clean_Data!E453="","FAIL","PASS"))</f>
        <v/>
      </c>
      <c r="E453" s="16" t="str">
        <f>IF(A453="","",IF(Clean_Data!G453="","FAIL","PASS"))</f>
        <v/>
      </c>
      <c r="F453" s="16" t="str">
        <f>IF(A453="","",IF(Clean_Data!G453="","OK",IF(Clean_Data!G453&gt;16,"FLAG","OK")))</f>
        <v/>
      </c>
      <c r="G453" s="16" t="str">
        <f>IF(A453="","",IF(Clean_Data!H453="","FAIL","PASS"))</f>
        <v/>
      </c>
      <c r="H453" s="16" t="str">
        <f>IF(A453="","",IF(OR(Clean_Data!D453="",Clean_Data!K453="NO"),"FAIL","PASS"))</f>
        <v/>
      </c>
      <c r="I453" s="16" t="str">
        <f t="shared" si="21"/>
        <v/>
      </c>
      <c r="J453" s="17" t="str">
        <f t="shared" si="22"/>
        <v/>
      </c>
      <c r="K453" s="16" t="str">
        <f t="shared" si="23"/>
        <v/>
      </c>
    </row>
    <row r="454" spans="1:11" x14ac:dyDescent="0.35">
      <c r="A454" s="8" t="str">
        <f>Clean_Data!A454</f>
        <v/>
      </c>
      <c r="B454" s="16" t="str">
        <f>IF(A454="","",IF(Clean_Data!C454="","FAIL","PASS"))</f>
        <v/>
      </c>
      <c r="C454" s="16" t="str">
        <f>IF(A454="","",IF(AND(Clean_Data!C454&lt;&gt;"",Clean_Data!J454="NO"),"FAIL","PASS"))</f>
        <v/>
      </c>
      <c r="D454" s="16" t="str">
        <f>IF(A454="","",IF(Clean_Data!E454="","FAIL","PASS"))</f>
        <v/>
      </c>
      <c r="E454" s="16" t="str">
        <f>IF(A454="","",IF(Clean_Data!G454="","FAIL","PASS"))</f>
        <v/>
      </c>
      <c r="F454" s="16" t="str">
        <f>IF(A454="","",IF(Clean_Data!G454="","OK",IF(Clean_Data!G454&gt;16,"FLAG","OK")))</f>
        <v/>
      </c>
      <c r="G454" s="16" t="str">
        <f>IF(A454="","",IF(Clean_Data!H454="","FAIL","PASS"))</f>
        <v/>
      </c>
      <c r="H454" s="16" t="str">
        <f>IF(A454="","",IF(OR(Clean_Data!D454="",Clean_Data!K454="NO"),"FAIL","PASS"))</f>
        <v/>
      </c>
      <c r="I454" s="16" t="str">
        <f t="shared" si="21"/>
        <v/>
      </c>
      <c r="J454" s="17" t="str">
        <f t="shared" si="22"/>
        <v/>
      </c>
      <c r="K454" s="16" t="str">
        <f t="shared" si="23"/>
        <v/>
      </c>
    </row>
    <row r="455" spans="1:11" x14ac:dyDescent="0.35">
      <c r="A455" s="8" t="str">
        <f>Clean_Data!A455</f>
        <v/>
      </c>
      <c r="B455" s="16" t="str">
        <f>IF(A455="","",IF(Clean_Data!C455="","FAIL","PASS"))</f>
        <v/>
      </c>
      <c r="C455" s="16" t="str">
        <f>IF(A455="","",IF(AND(Clean_Data!C455&lt;&gt;"",Clean_Data!J455="NO"),"FAIL","PASS"))</f>
        <v/>
      </c>
      <c r="D455" s="16" t="str">
        <f>IF(A455="","",IF(Clean_Data!E455="","FAIL","PASS"))</f>
        <v/>
      </c>
      <c r="E455" s="16" t="str">
        <f>IF(A455="","",IF(Clean_Data!G455="","FAIL","PASS"))</f>
        <v/>
      </c>
      <c r="F455" s="16" t="str">
        <f>IF(A455="","",IF(Clean_Data!G455="","OK",IF(Clean_Data!G455&gt;16,"FLAG","OK")))</f>
        <v/>
      </c>
      <c r="G455" s="16" t="str">
        <f>IF(A455="","",IF(Clean_Data!H455="","FAIL","PASS"))</f>
        <v/>
      </c>
      <c r="H455" s="16" t="str">
        <f>IF(A455="","",IF(OR(Clean_Data!D455="",Clean_Data!K455="NO"),"FAIL","PASS"))</f>
        <v/>
      </c>
      <c r="I455" s="16" t="str">
        <f t="shared" si="21"/>
        <v/>
      </c>
      <c r="J455" s="17" t="str">
        <f t="shared" si="22"/>
        <v/>
      </c>
      <c r="K455" s="16" t="str">
        <f t="shared" si="23"/>
        <v/>
      </c>
    </row>
    <row r="456" spans="1:11" x14ac:dyDescent="0.35">
      <c r="A456" s="8" t="str">
        <f>Clean_Data!A456</f>
        <v/>
      </c>
      <c r="B456" s="16" t="str">
        <f>IF(A456="","",IF(Clean_Data!C456="","FAIL","PASS"))</f>
        <v/>
      </c>
      <c r="C456" s="16" t="str">
        <f>IF(A456="","",IF(AND(Clean_Data!C456&lt;&gt;"",Clean_Data!J456="NO"),"FAIL","PASS"))</f>
        <v/>
      </c>
      <c r="D456" s="16" t="str">
        <f>IF(A456="","",IF(Clean_Data!E456="","FAIL","PASS"))</f>
        <v/>
      </c>
      <c r="E456" s="16" t="str">
        <f>IF(A456="","",IF(Clean_Data!G456="","FAIL","PASS"))</f>
        <v/>
      </c>
      <c r="F456" s="16" t="str">
        <f>IF(A456="","",IF(Clean_Data!G456="","OK",IF(Clean_Data!G456&gt;16,"FLAG","OK")))</f>
        <v/>
      </c>
      <c r="G456" s="16" t="str">
        <f>IF(A456="","",IF(Clean_Data!H456="","FAIL","PASS"))</f>
        <v/>
      </c>
      <c r="H456" s="16" t="str">
        <f>IF(A456="","",IF(OR(Clean_Data!D456="",Clean_Data!K456="NO"),"FAIL","PASS"))</f>
        <v/>
      </c>
      <c r="I456" s="16" t="str">
        <f t="shared" si="21"/>
        <v/>
      </c>
      <c r="J456" s="17" t="str">
        <f t="shared" si="22"/>
        <v/>
      </c>
      <c r="K456" s="16" t="str">
        <f t="shared" si="23"/>
        <v/>
      </c>
    </row>
    <row r="457" spans="1:11" x14ac:dyDescent="0.35">
      <c r="A457" s="8" t="str">
        <f>Clean_Data!A457</f>
        <v/>
      </c>
      <c r="B457" s="16" t="str">
        <f>IF(A457="","",IF(Clean_Data!C457="","FAIL","PASS"))</f>
        <v/>
      </c>
      <c r="C457" s="16" t="str">
        <f>IF(A457="","",IF(AND(Clean_Data!C457&lt;&gt;"",Clean_Data!J457="NO"),"FAIL","PASS"))</f>
        <v/>
      </c>
      <c r="D457" s="16" t="str">
        <f>IF(A457="","",IF(Clean_Data!E457="","FAIL","PASS"))</f>
        <v/>
      </c>
      <c r="E457" s="16" t="str">
        <f>IF(A457="","",IF(Clean_Data!G457="","FAIL","PASS"))</f>
        <v/>
      </c>
      <c r="F457" s="16" t="str">
        <f>IF(A457="","",IF(Clean_Data!G457="","OK",IF(Clean_Data!G457&gt;16,"FLAG","OK")))</f>
        <v/>
      </c>
      <c r="G457" s="16" t="str">
        <f>IF(A457="","",IF(Clean_Data!H457="","FAIL","PASS"))</f>
        <v/>
      </c>
      <c r="H457" s="16" t="str">
        <f>IF(A457="","",IF(OR(Clean_Data!D457="",Clean_Data!K457="NO"),"FAIL","PASS"))</f>
        <v/>
      </c>
      <c r="I457" s="16" t="str">
        <f t="shared" si="21"/>
        <v/>
      </c>
      <c r="J457" s="17" t="str">
        <f t="shared" si="22"/>
        <v/>
      </c>
      <c r="K457" s="16" t="str">
        <f t="shared" si="23"/>
        <v/>
      </c>
    </row>
    <row r="458" spans="1:11" x14ac:dyDescent="0.35">
      <c r="A458" s="8" t="str">
        <f>Clean_Data!A458</f>
        <v/>
      </c>
      <c r="B458" s="16" t="str">
        <f>IF(A458="","",IF(Clean_Data!C458="","FAIL","PASS"))</f>
        <v/>
      </c>
      <c r="C458" s="16" t="str">
        <f>IF(A458="","",IF(AND(Clean_Data!C458&lt;&gt;"",Clean_Data!J458="NO"),"FAIL","PASS"))</f>
        <v/>
      </c>
      <c r="D458" s="16" t="str">
        <f>IF(A458="","",IF(Clean_Data!E458="","FAIL","PASS"))</f>
        <v/>
      </c>
      <c r="E458" s="16" t="str">
        <f>IF(A458="","",IF(Clean_Data!G458="","FAIL","PASS"))</f>
        <v/>
      </c>
      <c r="F458" s="16" t="str">
        <f>IF(A458="","",IF(Clean_Data!G458="","OK",IF(Clean_Data!G458&gt;16,"FLAG","OK")))</f>
        <v/>
      </c>
      <c r="G458" s="16" t="str">
        <f>IF(A458="","",IF(Clean_Data!H458="","FAIL","PASS"))</f>
        <v/>
      </c>
      <c r="H458" s="16" t="str">
        <f>IF(A458="","",IF(OR(Clean_Data!D458="",Clean_Data!K458="NO"),"FAIL","PASS"))</f>
        <v/>
      </c>
      <c r="I458" s="16" t="str">
        <f t="shared" si="21"/>
        <v/>
      </c>
      <c r="J458" s="17" t="str">
        <f t="shared" si="22"/>
        <v/>
      </c>
      <c r="K458" s="16" t="str">
        <f t="shared" si="23"/>
        <v/>
      </c>
    </row>
    <row r="459" spans="1:11" x14ac:dyDescent="0.35">
      <c r="A459" s="8" t="str">
        <f>Clean_Data!A459</f>
        <v/>
      </c>
      <c r="B459" s="16" t="str">
        <f>IF(A459="","",IF(Clean_Data!C459="","FAIL","PASS"))</f>
        <v/>
      </c>
      <c r="C459" s="16" t="str">
        <f>IF(A459="","",IF(AND(Clean_Data!C459&lt;&gt;"",Clean_Data!J459="NO"),"FAIL","PASS"))</f>
        <v/>
      </c>
      <c r="D459" s="16" t="str">
        <f>IF(A459="","",IF(Clean_Data!E459="","FAIL","PASS"))</f>
        <v/>
      </c>
      <c r="E459" s="16" t="str">
        <f>IF(A459="","",IF(Clean_Data!G459="","FAIL","PASS"))</f>
        <v/>
      </c>
      <c r="F459" s="16" t="str">
        <f>IF(A459="","",IF(Clean_Data!G459="","OK",IF(Clean_Data!G459&gt;16,"FLAG","OK")))</f>
        <v/>
      </c>
      <c r="G459" s="16" t="str">
        <f>IF(A459="","",IF(Clean_Data!H459="","FAIL","PASS"))</f>
        <v/>
      </c>
      <c r="H459" s="16" t="str">
        <f>IF(A459="","",IF(OR(Clean_Data!D459="",Clean_Data!K459="NO"),"FAIL","PASS"))</f>
        <v/>
      </c>
      <c r="I459" s="16" t="str">
        <f t="shared" si="21"/>
        <v/>
      </c>
      <c r="J459" s="17" t="str">
        <f t="shared" si="22"/>
        <v/>
      </c>
      <c r="K459" s="16" t="str">
        <f t="shared" si="23"/>
        <v/>
      </c>
    </row>
    <row r="460" spans="1:11" x14ac:dyDescent="0.35">
      <c r="A460" s="8" t="str">
        <f>Clean_Data!A460</f>
        <v/>
      </c>
      <c r="B460" s="16" t="str">
        <f>IF(A460="","",IF(Clean_Data!C460="","FAIL","PASS"))</f>
        <v/>
      </c>
      <c r="C460" s="16" t="str">
        <f>IF(A460="","",IF(AND(Clean_Data!C460&lt;&gt;"",Clean_Data!J460="NO"),"FAIL","PASS"))</f>
        <v/>
      </c>
      <c r="D460" s="16" t="str">
        <f>IF(A460="","",IF(Clean_Data!E460="","FAIL","PASS"))</f>
        <v/>
      </c>
      <c r="E460" s="16" t="str">
        <f>IF(A460="","",IF(Clean_Data!G460="","FAIL","PASS"))</f>
        <v/>
      </c>
      <c r="F460" s="16" t="str">
        <f>IF(A460="","",IF(Clean_Data!G460="","OK",IF(Clean_Data!G460&gt;16,"FLAG","OK")))</f>
        <v/>
      </c>
      <c r="G460" s="16" t="str">
        <f>IF(A460="","",IF(Clean_Data!H460="","FAIL","PASS"))</f>
        <v/>
      </c>
      <c r="H460" s="16" t="str">
        <f>IF(A460="","",IF(OR(Clean_Data!D460="",Clean_Data!K460="NO"),"FAIL","PASS"))</f>
        <v/>
      </c>
      <c r="I460" s="16" t="str">
        <f t="shared" si="21"/>
        <v/>
      </c>
      <c r="J460" s="17" t="str">
        <f t="shared" si="22"/>
        <v/>
      </c>
      <c r="K460" s="16" t="str">
        <f t="shared" si="23"/>
        <v/>
      </c>
    </row>
    <row r="461" spans="1:11" x14ac:dyDescent="0.35">
      <c r="A461" s="8" t="str">
        <f>Clean_Data!A461</f>
        <v/>
      </c>
      <c r="B461" s="16" t="str">
        <f>IF(A461="","",IF(Clean_Data!C461="","FAIL","PASS"))</f>
        <v/>
      </c>
      <c r="C461" s="16" t="str">
        <f>IF(A461="","",IF(AND(Clean_Data!C461&lt;&gt;"",Clean_Data!J461="NO"),"FAIL","PASS"))</f>
        <v/>
      </c>
      <c r="D461" s="16" t="str">
        <f>IF(A461="","",IF(Clean_Data!E461="","FAIL","PASS"))</f>
        <v/>
      </c>
      <c r="E461" s="16" t="str">
        <f>IF(A461="","",IF(Clean_Data!G461="","FAIL","PASS"))</f>
        <v/>
      </c>
      <c r="F461" s="16" t="str">
        <f>IF(A461="","",IF(Clean_Data!G461="","OK",IF(Clean_Data!G461&gt;16,"FLAG","OK")))</f>
        <v/>
      </c>
      <c r="G461" s="16" t="str">
        <f>IF(A461="","",IF(Clean_Data!H461="","FAIL","PASS"))</f>
        <v/>
      </c>
      <c r="H461" s="16" t="str">
        <f>IF(A461="","",IF(OR(Clean_Data!D461="",Clean_Data!K461="NO"),"FAIL","PASS"))</f>
        <v/>
      </c>
      <c r="I461" s="16" t="str">
        <f t="shared" si="21"/>
        <v/>
      </c>
      <c r="J461" s="17" t="str">
        <f t="shared" si="22"/>
        <v/>
      </c>
      <c r="K461" s="16" t="str">
        <f t="shared" si="23"/>
        <v/>
      </c>
    </row>
    <row r="462" spans="1:11" x14ac:dyDescent="0.35">
      <c r="A462" s="8" t="str">
        <f>Clean_Data!A462</f>
        <v/>
      </c>
      <c r="B462" s="16" t="str">
        <f>IF(A462="","",IF(Clean_Data!C462="","FAIL","PASS"))</f>
        <v/>
      </c>
      <c r="C462" s="16" t="str">
        <f>IF(A462="","",IF(AND(Clean_Data!C462&lt;&gt;"",Clean_Data!J462="NO"),"FAIL","PASS"))</f>
        <v/>
      </c>
      <c r="D462" s="16" t="str">
        <f>IF(A462="","",IF(Clean_Data!E462="","FAIL","PASS"))</f>
        <v/>
      </c>
      <c r="E462" s="16" t="str">
        <f>IF(A462="","",IF(Clean_Data!G462="","FAIL","PASS"))</f>
        <v/>
      </c>
      <c r="F462" s="16" t="str">
        <f>IF(A462="","",IF(Clean_Data!G462="","OK",IF(Clean_Data!G462&gt;16,"FLAG","OK")))</f>
        <v/>
      </c>
      <c r="G462" s="16" t="str">
        <f>IF(A462="","",IF(Clean_Data!H462="","FAIL","PASS"))</f>
        <v/>
      </c>
      <c r="H462" s="16" t="str">
        <f>IF(A462="","",IF(OR(Clean_Data!D462="",Clean_Data!K462="NO"),"FAIL","PASS"))</f>
        <v/>
      </c>
      <c r="I462" s="16" t="str">
        <f t="shared" si="21"/>
        <v/>
      </c>
      <c r="J462" s="17" t="str">
        <f t="shared" si="22"/>
        <v/>
      </c>
      <c r="K462" s="16" t="str">
        <f t="shared" si="23"/>
        <v/>
      </c>
    </row>
    <row r="463" spans="1:11" x14ac:dyDescent="0.35">
      <c r="A463" s="8" t="str">
        <f>Clean_Data!A463</f>
        <v/>
      </c>
      <c r="B463" s="16" t="str">
        <f>IF(A463="","",IF(Clean_Data!C463="","FAIL","PASS"))</f>
        <v/>
      </c>
      <c r="C463" s="16" t="str">
        <f>IF(A463="","",IF(AND(Clean_Data!C463&lt;&gt;"",Clean_Data!J463="NO"),"FAIL","PASS"))</f>
        <v/>
      </c>
      <c r="D463" s="16" t="str">
        <f>IF(A463="","",IF(Clean_Data!E463="","FAIL","PASS"))</f>
        <v/>
      </c>
      <c r="E463" s="16" t="str">
        <f>IF(A463="","",IF(Clean_Data!G463="","FAIL","PASS"))</f>
        <v/>
      </c>
      <c r="F463" s="16" t="str">
        <f>IF(A463="","",IF(Clean_Data!G463="","OK",IF(Clean_Data!G463&gt;16,"FLAG","OK")))</f>
        <v/>
      </c>
      <c r="G463" s="16" t="str">
        <f>IF(A463="","",IF(Clean_Data!H463="","FAIL","PASS"))</f>
        <v/>
      </c>
      <c r="H463" s="16" t="str">
        <f>IF(A463="","",IF(OR(Clean_Data!D463="",Clean_Data!K463="NO"),"FAIL","PASS"))</f>
        <v/>
      </c>
      <c r="I463" s="16" t="str">
        <f t="shared" si="21"/>
        <v/>
      </c>
      <c r="J463" s="17" t="str">
        <f t="shared" si="22"/>
        <v/>
      </c>
      <c r="K463" s="16" t="str">
        <f t="shared" si="23"/>
        <v/>
      </c>
    </row>
    <row r="464" spans="1:11" x14ac:dyDescent="0.35">
      <c r="A464" s="8" t="str">
        <f>Clean_Data!A464</f>
        <v/>
      </c>
      <c r="B464" s="16" t="str">
        <f>IF(A464="","",IF(Clean_Data!C464="","FAIL","PASS"))</f>
        <v/>
      </c>
      <c r="C464" s="16" t="str">
        <f>IF(A464="","",IF(AND(Clean_Data!C464&lt;&gt;"",Clean_Data!J464="NO"),"FAIL","PASS"))</f>
        <v/>
      </c>
      <c r="D464" s="16" t="str">
        <f>IF(A464="","",IF(Clean_Data!E464="","FAIL","PASS"))</f>
        <v/>
      </c>
      <c r="E464" s="16" t="str">
        <f>IF(A464="","",IF(Clean_Data!G464="","FAIL","PASS"))</f>
        <v/>
      </c>
      <c r="F464" s="16" t="str">
        <f>IF(A464="","",IF(Clean_Data!G464="","OK",IF(Clean_Data!G464&gt;16,"FLAG","OK")))</f>
        <v/>
      </c>
      <c r="G464" s="16" t="str">
        <f>IF(A464="","",IF(Clean_Data!H464="","FAIL","PASS"))</f>
        <v/>
      </c>
      <c r="H464" s="16" t="str">
        <f>IF(A464="","",IF(OR(Clean_Data!D464="",Clean_Data!K464="NO"),"FAIL","PASS"))</f>
        <v/>
      </c>
      <c r="I464" s="16" t="str">
        <f t="shared" si="21"/>
        <v/>
      </c>
      <c r="J464" s="17" t="str">
        <f t="shared" si="22"/>
        <v/>
      </c>
      <c r="K464" s="16" t="str">
        <f t="shared" si="23"/>
        <v/>
      </c>
    </row>
    <row r="465" spans="1:11" x14ac:dyDescent="0.35">
      <c r="A465" s="8" t="str">
        <f>Clean_Data!A465</f>
        <v/>
      </c>
      <c r="B465" s="16" t="str">
        <f>IF(A465="","",IF(Clean_Data!C465="","FAIL","PASS"))</f>
        <v/>
      </c>
      <c r="C465" s="16" t="str">
        <f>IF(A465="","",IF(AND(Clean_Data!C465&lt;&gt;"",Clean_Data!J465="NO"),"FAIL","PASS"))</f>
        <v/>
      </c>
      <c r="D465" s="16" t="str">
        <f>IF(A465="","",IF(Clean_Data!E465="","FAIL","PASS"))</f>
        <v/>
      </c>
      <c r="E465" s="16" t="str">
        <f>IF(A465="","",IF(Clean_Data!G465="","FAIL","PASS"))</f>
        <v/>
      </c>
      <c r="F465" s="16" t="str">
        <f>IF(A465="","",IF(Clean_Data!G465="","OK",IF(Clean_Data!G465&gt;16,"FLAG","OK")))</f>
        <v/>
      </c>
      <c r="G465" s="16" t="str">
        <f>IF(A465="","",IF(Clean_Data!H465="","FAIL","PASS"))</f>
        <v/>
      </c>
      <c r="H465" s="16" t="str">
        <f>IF(A465="","",IF(OR(Clean_Data!D465="",Clean_Data!K465="NO"),"FAIL","PASS"))</f>
        <v/>
      </c>
      <c r="I465" s="16" t="str">
        <f t="shared" si="21"/>
        <v/>
      </c>
      <c r="J465" s="17" t="str">
        <f t="shared" si="22"/>
        <v/>
      </c>
      <c r="K465" s="16" t="str">
        <f t="shared" si="23"/>
        <v/>
      </c>
    </row>
    <row r="466" spans="1:11" x14ac:dyDescent="0.35">
      <c r="A466" s="8" t="str">
        <f>Clean_Data!A466</f>
        <v/>
      </c>
      <c r="B466" s="16" t="str">
        <f>IF(A466="","",IF(Clean_Data!C466="","FAIL","PASS"))</f>
        <v/>
      </c>
      <c r="C466" s="16" t="str">
        <f>IF(A466="","",IF(AND(Clean_Data!C466&lt;&gt;"",Clean_Data!J466="NO"),"FAIL","PASS"))</f>
        <v/>
      </c>
      <c r="D466" s="16" t="str">
        <f>IF(A466="","",IF(Clean_Data!E466="","FAIL","PASS"))</f>
        <v/>
      </c>
      <c r="E466" s="16" t="str">
        <f>IF(A466="","",IF(Clean_Data!G466="","FAIL","PASS"))</f>
        <v/>
      </c>
      <c r="F466" s="16" t="str">
        <f>IF(A466="","",IF(Clean_Data!G466="","OK",IF(Clean_Data!G466&gt;16,"FLAG","OK")))</f>
        <v/>
      </c>
      <c r="G466" s="16" t="str">
        <f>IF(A466="","",IF(Clean_Data!H466="","FAIL","PASS"))</f>
        <v/>
      </c>
      <c r="H466" s="16" t="str">
        <f>IF(A466="","",IF(OR(Clean_Data!D466="",Clean_Data!K466="NO"),"FAIL","PASS"))</f>
        <v/>
      </c>
      <c r="I466" s="16" t="str">
        <f t="shared" si="21"/>
        <v/>
      </c>
      <c r="J466" s="17" t="str">
        <f t="shared" si="22"/>
        <v/>
      </c>
      <c r="K466" s="16" t="str">
        <f t="shared" si="23"/>
        <v/>
      </c>
    </row>
    <row r="467" spans="1:11" x14ac:dyDescent="0.35">
      <c r="A467" s="8" t="str">
        <f>Clean_Data!A467</f>
        <v/>
      </c>
      <c r="B467" s="16" t="str">
        <f>IF(A467="","",IF(Clean_Data!C467="","FAIL","PASS"))</f>
        <v/>
      </c>
      <c r="C467" s="16" t="str">
        <f>IF(A467="","",IF(AND(Clean_Data!C467&lt;&gt;"",Clean_Data!J467="NO"),"FAIL","PASS"))</f>
        <v/>
      </c>
      <c r="D467" s="16" t="str">
        <f>IF(A467="","",IF(Clean_Data!E467="","FAIL","PASS"))</f>
        <v/>
      </c>
      <c r="E467" s="16" t="str">
        <f>IF(A467="","",IF(Clean_Data!G467="","FAIL","PASS"))</f>
        <v/>
      </c>
      <c r="F467" s="16" t="str">
        <f>IF(A467="","",IF(Clean_Data!G467="","OK",IF(Clean_Data!G467&gt;16,"FLAG","OK")))</f>
        <v/>
      </c>
      <c r="G467" s="16" t="str">
        <f>IF(A467="","",IF(Clean_Data!H467="","FAIL","PASS"))</f>
        <v/>
      </c>
      <c r="H467" s="16" t="str">
        <f>IF(A467="","",IF(OR(Clean_Data!D467="",Clean_Data!K467="NO"),"FAIL","PASS"))</f>
        <v/>
      </c>
      <c r="I467" s="16" t="str">
        <f t="shared" si="21"/>
        <v/>
      </c>
      <c r="J467" s="17" t="str">
        <f t="shared" si="22"/>
        <v/>
      </c>
      <c r="K467" s="16" t="str">
        <f t="shared" si="23"/>
        <v/>
      </c>
    </row>
    <row r="468" spans="1:11" x14ac:dyDescent="0.35">
      <c r="A468" s="8" t="str">
        <f>Clean_Data!A468</f>
        <v/>
      </c>
      <c r="B468" s="16" t="str">
        <f>IF(A468="","",IF(Clean_Data!C468="","FAIL","PASS"))</f>
        <v/>
      </c>
      <c r="C468" s="16" t="str">
        <f>IF(A468="","",IF(AND(Clean_Data!C468&lt;&gt;"",Clean_Data!J468="NO"),"FAIL","PASS"))</f>
        <v/>
      </c>
      <c r="D468" s="16" t="str">
        <f>IF(A468="","",IF(Clean_Data!E468="","FAIL","PASS"))</f>
        <v/>
      </c>
      <c r="E468" s="16" t="str">
        <f>IF(A468="","",IF(Clean_Data!G468="","FAIL","PASS"))</f>
        <v/>
      </c>
      <c r="F468" s="16" t="str">
        <f>IF(A468="","",IF(Clean_Data!G468="","OK",IF(Clean_Data!G468&gt;16,"FLAG","OK")))</f>
        <v/>
      </c>
      <c r="G468" s="16" t="str">
        <f>IF(A468="","",IF(Clean_Data!H468="","FAIL","PASS"))</f>
        <v/>
      </c>
      <c r="H468" s="16" t="str">
        <f>IF(A468="","",IF(OR(Clean_Data!D468="",Clean_Data!K468="NO"),"FAIL","PASS"))</f>
        <v/>
      </c>
      <c r="I468" s="16" t="str">
        <f t="shared" si="21"/>
        <v/>
      </c>
      <c r="J468" s="17" t="str">
        <f t="shared" si="22"/>
        <v/>
      </c>
      <c r="K468" s="16" t="str">
        <f t="shared" si="23"/>
        <v/>
      </c>
    </row>
    <row r="469" spans="1:11" x14ac:dyDescent="0.35">
      <c r="A469" s="8" t="str">
        <f>Clean_Data!A469</f>
        <v/>
      </c>
      <c r="B469" s="16" t="str">
        <f>IF(A469="","",IF(Clean_Data!C469="","FAIL","PASS"))</f>
        <v/>
      </c>
      <c r="C469" s="16" t="str">
        <f>IF(A469="","",IF(AND(Clean_Data!C469&lt;&gt;"",Clean_Data!J469="NO"),"FAIL","PASS"))</f>
        <v/>
      </c>
      <c r="D469" s="16" t="str">
        <f>IF(A469="","",IF(Clean_Data!E469="","FAIL","PASS"))</f>
        <v/>
      </c>
      <c r="E469" s="16" t="str">
        <f>IF(A469="","",IF(Clean_Data!G469="","FAIL","PASS"))</f>
        <v/>
      </c>
      <c r="F469" s="16" t="str">
        <f>IF(A469="","",IF(Clean_Data!G469="","OK",IF(Clean_Data!G469&gt;16,"FLAG","OK")))</f>
        <v/>
      </c>
      <c r="G469" s="16" t="str">
        <f>IF(A469="","",IF(Clean_Data!H469="","FAIL","PASS"))</f>
        <v/>
      </c>
      <c r="H469" s="16" t="str">
        <f>IF(A469="","",IF(OR(Clean_Data!D469="",Clean_Data!K469="NO"),"FAIL","PASS"))</f>
        <v/>
      </c>
      <c r="I469" s="16" t="str">
        <f t="shared" si="21"/>
        <v/>
      </c>
      <c r="J469" s="17" t="str">
        <f t="shared" si="22"/>
        <v/>
      </c>
      <c r="K469" s="16" t="str">
        <f t="shared" si="23"/>
        <v/>
      </c>
    </row>
    <row r="470" spans="1:11" x14ac:dyDescent="0.35">
      <c r="A470" s="8" t="str">
        <f>Clean_Data!A470</f>
        <v/>
      </c>
      <c r="B470" s="16" t="str">
        <f>IF(A470="","",IF(Clean_Data!C470="","FAIL","PASS"))</f>
        <v/>
      </c>
      <c r="C470" s="16" t="str">
        <f>IF(A470="","",IF(AND(Clean_Data!C470&lt;&gt;"",Clean_Data!J470="NO"),"FAIL","PASS"))</f>
        <v/>
      </c>
      <c r="D470" s="16" t="str">
        <f>IF(A470="","",IF(Clean_Data!E470="","FAIL","PASS"))</f>
        <v/>
      </c>
      <c r="E470" s="16" t="str">
        <f>IF(A470="","",IF(Clean_Data!G470="","FAIL","PASS"))</f>
        <v/>
      </c>
      <c r="F470" s="16" t="str">
        <f>IF(A470="","",IF(Clean_Data!G470="","OK",IF(Clean_Data!G470&gt;16,"FLAG","OK")))</f>
        <v/>
      </c>
      <c r="G470" s="16" t="str">
        <f>IF(A470="","",IF(Clean_Data!H470="","FAIL","PASS"))</f>
        <v/>
      </c>
      <c r="H470" s="16" t="str">
        <f>IF(A470="","",IF(OR(Clean_Data!D470="",Clean_Data!K470="NO"),"FAIL","PASS"))</f>
        <v/>
      </c>
      <c r="I470" s="16" t="str">
        <f t="shared" si="21"/>
        <v/>
      </c>
      <c r="J470" s="17" t="str">
        <f t="shared" si="22"/>
        <v/>
      </c>
      <c r="K470" s="16" t="str">
        <f t="shared" si="23"/>
        <v/>
      </c>
    </row>
    <row r="471" spans="1:11" x14ac:dyDescent="0.35">
      <c r="A471" s="8" t="str">
        <f>Clean_Data!A471</f>
        <v/>
      </c>
      <c r="B471" s="16" t="str">
        <f>IF(A471="","",IF(Clean_Data!C471="","FAIL","PASS"))</f>
        <v/>
      </c>
      <c r="C471" s="16" t="str">
        <f>IF(A471="","",IF(AND(Clean_Data!C471&lt;&gt;"",Clean_Data!J471="NO"),"FAIL","PASS"))</f>
        <v/>
      </c>
      <c r="D471" s="16" t="str">
        <f>IF(A471="","",IF(Clean_Data!E471="","FAIL","PASS"))</f>
        <v/>
      </c>
      <c r="E471" s="16" t="str">
        <f>IF(A471="","",IF(Clean_Data!G471="","FAIL","PASS"))</f>
        <v/>
      </c>
      <c r="F471" s="16" t="str">
        <f>IF(A471="","",IF(Clean_Data!G471="","OK",IF(Clean_Data!G471&gt;16,"FLAG","OK")))</f>
        <v/>
      </c>
      <c r="G471" s="16" t="str">
        <f>IF(A471="","",IF(Clean_Data!H471="","FAIL","PASS"))</f>
        <v/>
      </c>
      <c r="H471" s="16" t="str">
        <f>IF(A471="","",IF(OR(Clean_Data!D471="",Clean_Data!K471="NO"),"FAIL","PASS"))</f>
        <v/>
      </c>
      <c r="I471" s="16" t="str">
        <f t="shared" si="21"/>
        <v/>
      </c>
      <c r="J471" s="17" t="str">
        <f t="shared" si="22"/>
        <v/>
      </c>
      <c r="K471" s="16" t="str">
        <f t="shared" si="23"/>
        <v/>
      </c>
    </row>
    <row r="472" spans="1:11" x14ac:dyDescent="0.35">
      <c r="A472" s="8" t="str">
        <f>Clean_Data!A472</f>
        <v/>
      </c>
      <c r="B472" s="16" t="str">
        <f>IF(A472="","",IF(Clean_Data!C472="","FAIL","PASS"))</f>
        <v/>
      </c>
      <c r="C472" s="16" t="str">
        <f>IF(A472="","",IF(AND(Clean_Data!C472&lt;&gt;"",Clean_Data!J472="NO"),"FAIL","PASS"))</f>
        <v/>
      </c>
      <c r="D472" s="16" t="str">
        <f>IF(A472="","",IF(Clean_Data!E472="","FAIL","PASS"))</f>
        <v/>
      </c>
      <c r="E472" s="16" t="str">
        <f>IF(A472="","",IF(Clean_Data!G472="","FAIL","PASS"))</f>
        <v/>
      </c>
      <c r="F472" s="16" t="str">
        <f>IF(A472="","",IF(Clean_Data!G472="","OK",IF(Clean_Data!G472&gt;16,"FLAG","OK")))</f>
        <v/>
      </c>
      <c r="G472" s="16" t="str">
        <f>IF(A472="","",IF(Clean_Data!H472="","FAIL","PASS"))</f>
        <v/>
      </c>
      <c r="H472" s="16" t="str">
        <f>IF(A472="","",IF(OR(Clean_Data!D472="",Clean_Data!K472="NO"),"FAIL","PASS"))</f>
        <v/>
      </c>
      <c r="I472" s="16" t="str">
        <f t="shared" si="21"/>
        <v/>
      </c>
      <c r="J472" s="17" t="str">
        <f t="shared" si="22"/>
        <v/>
      </c>
      <c r="K472" s="16" t="str">
        <f t="shared" si="23"/>
        <v/>
      </c>
    </row>
    <row r="473" spans="1:11" x14ac:dyDescent="0.35">
      <c r="A473" s="8" t="str">
        <f>Clean_Data!A473</f>
        <v/>
      </c>
      <c r="B473" s="16" t="str">
        <f>IF(A473="","",IF(Clean_Data!C473="","FAIL","PASS"))</f>
        <v/>
      </c>
      <c r="C473" s="16" t="str">
        <f>IF(A473="","",IF(AND(Clean_Data!C473&lt;&gt;"",Clean_Data!J473="NO"),"FAIL","PASS"))</f>
        <v/>
      </c>
      <c r="D473" s="16" t="str">
        <f>IF(A473="","",IF(Clean_Data!E473="","FAIL","PASS"))</f>
        <v/>
      </c>
      <c r="E473" s="16" t="str">
        <f>IF(A473="","",IF(Clean_Data!G473="","FAIL","PASS"))</f>
        <v/>
      </c>
      <c r="F473" s="16" t="str">
        <f>IF(A473="","",IF(Clean_Data!G473="","OK",IF(Clean_Data!G473&gt;16,"FLAG","OK")))</f>
        <v/>
      </c>
      <c r="G473" s="16" t="str">
        <f>IF(A473="","",IF(Clean_Data!H473="","FAIL","PASS"))</f>
        <v/>
      </c>
      <c r="H473" s="16" t="str">
        <f>IF(A473="","",IF(OR(Clean_Data!D473="",Clean_Data!K473="NO"),"FAIL","PASS"))</f>
        <v/>
      </c>
      <c r="I473" s="16" t="str">
        <f t="shared" si="21"/>
        <v/>
      </c>
      <c r="J473" s="17" t="str">
        <f t="shared" si="22"/>
        <v/>
      </c>
      <c r="K473" s="16" t="str">
        <f t="shared" si="23"/>
        <v/>
      </c>
    </row>
    <row r="474" spans="1:11" x14ac:dyDescent="0.35">
      <c r="A474" s="8" t="str">
        <f>Clean_Data!A474</f>
        <v/>
      </c>
      <c r="B474" s="16" t="str">
        <f>IF(A474="","",IF(Clean_Data!C474="","FAIL","PASS"))</f>
        <v/>
      </c>
      <c r="C474" s="16" t="str">
        <f>IF(A474="","",IF(AND(Clean_Data!C474&lt;&gt;"",Clean_Data!J474="NO"),"FAIL","PASS"))</f>
        <v/>
      </c>
      <c r="D474" s="16" t="str">
        <f>IF(A474="","",IF(Clean_Data!E474="","FAIL","PASS"))</f>
        <v/>
      </c>
      <c r="E474" s="16" t="str">
        <f>IF(A474="","",IF(Clean_Data!G474="","FAIL","PASS"))</f>
        <v/>
      </c>
      <c r="F474" s="16" t="str">
        <f>IF(A474="","",IF(Clean_Data!G474="","OK",IF(Clean_Data!G474&gt;16,"FLAG","OK")))</f>
        <v/>
      </c>
      <c r="G474" s="16" t="str">
        <f>IF(A474="","",IF(Clean_Data!H474="","FAIL","PASS"))</f>
        <v/>
      </c>
      <c r="H474" s="16" t="str">
        <f>IF(A474="","",IF(OR(Clean_Data!D474="",Clean_Data!K474="NO"),"FAIL","PASS"))</f>
        <v/>
      </c>
      <c r="I474" s="16" t="str">
        <f t="shared" si="21"/>
        <v/>
      </c>
      <c r="J474" s="17" t="str">
        <f t="shared" si="22"/>
        <v/>
      </c>
      <c r="K474" s="16" t="str">
        <f t="shared" si="23"/>
        <v/>
      </c>
    </row>
    <row r="475" spans="1:11" x14ac:dyDescent="0.35">
      <c r="A475" s="8" t="str">
        <f>Clean_Data!A475</f>
        <v/>
      </c>
      <c r="B475" s="16" t="str">
        <f>IF(A475="","",IF(Clean_Data!C475="","FAIL","PASS"))</f>
        <v/>
      </c>
      <c r="C475" s="16" t="str">
        <f>IF(A475="","",IF(AND(Clean_Data!C475&lt;&gt;"",Clean_Data!J475="NO"),"FAIL","PASS"))</f>
        <v/>
      </c>
      <c r="D475" s="16" t="str">
        <f>IF(A475="","",IF(Clean_Data!E475="","FAIL","PASS"))</f>
        <v/>
      </c>
      <c r="E475" s="16" t="str">
        <f>IF(A475="","",IF(Clean_Data!G475="","FAIL","PASS"))</f>
        <v/>
      </c>
      <c r="F475" s="16" t="str">
        <f>IF(A475="","",IF(Clean_Data!G475="","OK",IF(Clean_Data!G475&gt;16,"FLAG","OK")))</f>
        <v/>
      </c>
      <c r="G475" s="16" t="str">
        <f>IF(A475="","",IF(Clean_Data!H475="","FAIL","PASS"))</f>
        <v/>
      </c>
      <c r="H475" s="16" t="str">
        <f>IF(A475="","",IF(OR(Clean_Data!D475="",Clean_Data!K475="NO"),"FAIL","PASS"))</f>
        <v/>
      </c>
      <c r="I475" s="16" t="str">
        <f t="shared" si="21"/>
        <v/>
      </c>
      <c r="J475" s="17" t="str">
        <f t="shared" si="22"/>
        <v/>
      </c>
      <c r="K475" s="16" t="str">
        <f t="shared" si="23"/>
        <v/>
      </c>
    </row>
    <row r="476" spans="1:11" x14ac:dyDescent="0.35">
      <c r="A476" s="8" t="str">
        <f>Clean_Data!A476</f>
        <v/>
      </c>
      <c r="B476" s="16" t="str">
        <f>IF(A476="","",IF(Clean_Data!C476="","FAIL","PASS"))</f>
        <v/>
      </c>
      <c r="C476" s="16" t="str">
        <f>IF(A476="","",IF(AND(Clean_Data!C476&lt;&gt;"",Clean_Data!J476="NO"),"FAIL","PASS"))</f>
        <v/>
      </c>
      <c r="D476" s="16" t="str">
        <f>IF(A476="","",IF(Clean_Data!E476="","FAIL","PASS"))</f>
        <v/>
      </c>
      <c r="E476" s="16" t="str">
        <f>IF(A476="","",IF(Clean_Data!G476="","FAIL","PASS"))</f>
        <v/>
      </c>
      <c r="F476" s="16" t="str">
        <f>IF(A476="","",IF(Clean_Data!G476="","OK",IF(Clean_Data!G476&gt;16,"FLAG","OK")))</f>
        <v/>
      </c>
      <c r="G476" s="16" t="str">
        <f>IF(A476="","",IF(Clean_Data!H476="","FAIL","PASS"))</f>
        <v/>
      </c>
      <c r="H476" s="16" t="str">
        <f>IF(A476="","",IF(OR(Clean_Data!D476="",Clean_Data!K476="NO"),"FAIL","PASS"))</f>
        <v/>
      </c>
      <c r="I476" s="16" t="str">
        <f t="shared" si="21"/>
        <v/>
      </c>
      <c r="J476" s="17" t="str">
        <f t="shared" si="22"/>
        <v/>
      </c>
      <c r="K476" s="16" t="str">
        <f t="shared" si="23"/>
        <v/>
      </c>
    </row>
    <row r="477" spans="1:11" x14ac:dyDescent="0.35">
      <c r="A477" s="8" t="str">
        <f>Clean_Data!A477</f>
        <v/>
      </c>
      <c r="B477" s="16" t="str">
        <f>IF(A477="","",IF(Clean_Data!C477="","FAIL","PASS"))</f>
        <v/>
      </c>
      <c r="C477" s="16" t="str">
        <f>IF(A477="","",IF(AND(Clean_Data!C477&lt;&gt;"",Clean_Data!J477="NO"),"FAIL","PASS"))</f>
        <v/>
      </c>
      <c r="D477" s="16" t="str">
        <f>IF(A477="","",IF(Clean_Data!E477="","FAIL","PASS"))</f>
        <v/>
      </c>
      <c r="E477" s="16" t="str">
        <f>IF(A477="","",IF(Clean_Data!G477="","FAIL","PASS"))</f>
        <v/>
      </c>
      <c r="F477" s="16" t="str">
        <f>IF(A477="","",IF(Clean_Data!G477="","OK",IF(Clean_Data!G477&gt;16,"FLAG","OK")))</f>
        <v/>
      </c>
      <c r="G477" s="16" t="str">
        <f>IF(A477="","",IF(Clean_Data!H477="","FAIL","PASS"))</f>
        <v/>
      </c>
      <c r="H477" s="16" t="str">
        <f>IF(A477="","",IF(OR(Clean_Data!D477="",Clean_Data!K477="NO"),"FAIL","PASS"))</f>
        <v/>
      </c>
      <c r="I477" s="16" t="str">
        <f t="shared" si="21"/>
        <v/>
      </c>
      <c r="J477" s="17" t="str">
        <f t="shared" si="22"/>
        <v/>
      </c>
      <c r="K477" s="16" t="str">
        <f t="shared" si="23"/>
        <v/>
      </c>
    </row>
    <row r="478" spans="1:11" x14ac:dyDescent="0.35">
      <c r="A478" s="8" t="str">
        <f>Clean_Data!A478</f>
        <v/>
      </c>
      <c r="B478" s="16" t="str">
        <f>IF(A478="","",IF(Clean_Data!C478="","FAIL","PASS"))</f>
        <v/>
      </c>
      <c r="C478" s="16" t="str">
        <f>IF(A478="","",IF(AND(Clean_Data!C478&lt;&gt;"",Clean_Data!J478="NO"),"FAIL","PASS"))</f>
        <v/>
      </c>
      <c r="D478" s="16" t="str">
        <f>IF(A478="","",IF(Clean_Data!E478="","FAIL","PASS"))</f>
        <v/>
      </c>
      <c r="E478" s="16" t="str">
        <f>IF(A478="","",IF(Clean_Data!G478="","FAIL","PASS"))</f>
        <v/>
      </c>
      <c r="F478" s="16" t="str">
        <f>IF(A478="","",IF(Clean_Data!G478="","OK",IF(Clean_Data!G478&gt;16,"FLAG","OK")))</f>
        <v/>
      </c>
      <c r="G478" s="16" t="str">
        <f>IF(A478="","",IF(Clean_Data!H478="","FAIL","PASS"))</f>
        <v/>
      </c>
      <c r="H478" s="16" t="str">
        <f>IF(A478="","",IF(OR(Clean_Data!D478="",Clean_Data!K478="NO"),"FAIL","PASS"))</f>
        <v/>
      </c>
      <c r="I478" s="16" t="str">
        <f t="shared" si="21"/>
        <v/>
      </c>
      <c r="J478" s="17" t="str">
        <f t="shared" si="22"/>
        <v/>
      </c>
      <c r="K478" s="16" t="str">
        <f t="shared" si="23"/>
        <v/>
      </c>
    </row>
    <row r="479" spans="1:11" x14ac:dyDescent="0.35">
      <c r="A479" s="8" t="str">
        <f>Clean_Data!A479</f>
        <v/>
      </c>
      <c r="B479" s="16" t="str">
        <f>IF(A479="","",IF(Clean_Data!C479="","FAIL","PASS"))</f>
        <v/>
      </c>
      <c r="C479" s="16" t="str">
        <f>IF(A479="","",IF(AND(Clean_Data!C479&lt;&gt;"",Clean_Data!J479="NO"),"FAIL","PASS"))</f>
        <v/>
      </c>
      <c r="D479" s="16" t="str">
        <f>IF(A479="","",IF(Clean_Data!E479="","FAIL","PASS"))</f>
        <v/>
      </c>
      <c r="E479" s="16" t="str">
        <f>IF(A479="","",IF(Clean_Data!G479="","FAIL","PASS"))</f>
        <v/>
      </c>
      <c r="F479" s="16" t="str">
        <f>IF(A479="","",IF(Clean_Data!G479="","OK",IF(Clean_Data!G479&gt;16,"FLAG","OK")))</f>
        <v/>
      </c>
      <c r="G479" s="16" t="str">
        <f>IF(A479="","",IF(Clean_Data!H479="","FAIL","PASS"))</f>
        <v/>
      </c>
      <c r="H479" s="16" t="str">
        <f>IF(A479="","",IF(OR(Clean_Data!D479="",Clean_Data!K479="NO"),"FAIL","PASS"))</f>
        <v/>
      </c>
      <c r="I479" s="16" t="str">
        <f t="shared" si="21"/>
        <v/>
      </c>
      <c r="J479" s="17" t="str">
        <f t="shared" si="22"/>
        <v/>
      </c>
      <c r="K479" s="16" t="str">
        <f t="shared" si="23"/>
        <v/>
      </c>
    </row>
    <row r="480" spans="1:11" x14ac:dyDescent="0.35">
      <c r="A480" s="8" t="str">
        <f>Clean_Data!A480</f>
        <v/>
      </c>
      <c r="B480" s="16" t="str">
        <f>IF(A480="","",IF(Clean_Data!C480="","FAIL","PASS"))</f>
        <v/>
      </c>
      <c r="C480" s="16" t="str">
        <f>IF(A480="","",IF(AND(Clean_Data!C480&lt;&gt;"",Clean_Data!J480="NO"),"FAIL","PASS"))</f>
        <v/>
      </c>
      <c r="D480" s="16" t="str">
        <f>IF(A480="","",IF(Clean_Data!E480="","FAIL","PASS"))</f>
        <v/>
      </c>
      <c r="E480" s="16" t="str">
        <f>IF(A480="","",IF(Clean_Data!G480="","FAIL","PASS"))</f>
        <v/>
      </c>
      <c r="F480" s="16" t="str">
        <f>IF(A480="","",IF(Clean_Data!G480="","OK",IF(Clean_Data!G480&gt;16,"FLAG","OK")))</f>
        <v/>
      </c>
      <c r="G480" s="16" t="str">
        <f>IF(A480="","",IF(Clean_Data!H480="","FAIL","PASS"))</f>
        <v/>
      </c>
      <c r="H480" s="16" t="str">
        <f>IF(A480="","",IF(OR(Clean_Data!D480="",Clean_Data!K480="NO"),"FAIL","PASS"))</f>
        <v/>
      </c>
      <c r="I480" s="16" t="str">
        <f t="shared" si="21"/>
        <v/>
      </c>
      <c r="J480" s="17" t="str">
        <f t="shared" si="22"/>
        <v/>
      </c>
      <c r="K480" s="16" t="str">
        <f t="shared" si="23"/>
        <v/>
      </c>
    </row>
    <row r="481" spans="1:11" x14ac:dyDescent="0.35">
      <c r="A481" s="8" t="str">
        <f>Clean_Data!A481</f>
        <v/>
      </c>
      <c r="B481" s="16" t="str">
        <f>IF(A481="","",IF(Clean_Data!C481="","FAIL","PASS"))</f>
        <v/>
      </c>
      <c r="C481" s="16" t="str">
        <f>IF(A481="","",IF(AND(Clean_Data!C481&lt;&gt;"",Clean_Data!J481="NO"),"FAIL","PASS"))</f>
        <v/>
      </c>
      <c r="D481" s="16" t="str">
        <f>IF(A481="","",IF(Clean_Data!E481="","FAIL","PASS"))</f>
        <v/>
      </c>
      <c r="E481" s="16" t="str">
        <f>IF(A481="","",IF(Clean_Data!G481="","FAIL","PASS"))</f>
        <v/>
      </c>
      <c r="F481" s="16" t="str">
        <f>IF(A481="","",IF(Clean_Data!G481="","OK",IF(Clean_Data!G481&gt;16,"FLAG","OK")))</f>
        <v/>
      </c>
      <c r="G481" s="16" t="str">
        <f>IF(A481="","",IF(Clean_Data!H481="","FAIL","PASS"))</f>
        <v/>
      </c>
      <c r="H481" s="16" t="str">
        <f>IF(A481="","",IF(OR(Clean_Data!D481="",Clean_Data!K481="NO"),"FAIL","PASS"))</f>
        <v/>
      </c>
      <c r="I481" s="16" t="str">
        <f t="shared" si="21"/>
        <v/>
      </c>
      <c r="J481" s="17" t="str">
        <f t="shared" si="22"/>
        <v/>
      </c>
      <c r="K481" s="16" t="str">
        <f t="shared" si="23"/>
        <v/>
      </c>
    </row>
    <row r="482" spans="1:11" x14ac:dyDescent="0.35">
      <c r="A482" s="8" t="str">
        <f>Clean_Data!A482</f>
        <v/>
      </c>
      <c r="B482" s="16" t="str">
        <f>IF(A482="","",IF(Clean_Data!C482="","FAIL","PASS"))</f>
        <v/>
      </c>
      <c r="C482" s="16" t="str">
        <f>IF(A482="","",IF(AND(Clean_Data!C482&lt;&gt;"",Clean_Data!J482="NO"),"FAIL","PASS"))</f>
        <v/>
      </c>
      <c r="D482" s="16" t="str">
        <f>IF(A482="","",IF(Clean_Data!E482="","FAIL","PASS"))</f>
        <v/>
      </c>
      <c r="E482" s="16" t="str">
        <f>IF(A482="","",IF(Clean_Data!G482="","FAIL","PASS"))</f>
        <v/>
      </c>
      <c r="F482" s="16" t="str">
        <f>IF(A482="","",IF(Clean_Data!G482="","OK",IF(Clean_Data!G482&gt;16,"FLAG","OK")))</f>
        <v/>
      </c>
      <c r="G482" s="16" t="str">
        <f>IF(A482="","",IF(Clean_Data!H482="","FAIL","PASS"))</f>
        <v/>
      </c>
      <c r="H482" s="16" t="str">
        <f>IF(A482="","",IF(OR(Clean_Data!D482="",Clean_Data!K482="NO"),"FAIL","PASS"))</f>
        <v/>
      </c>
      <c r="I482" s="16" t="str">
        <f t="shared" si="21"/>
        <v/>
      </c>
      <c r="J482" s="17" t="str">
        <f t="shared" si="22"/>
        <v/>
      </c>
      <c r="K482" s="16" t="str">
        <f t="shared" si="23"/>
        <v/>
      </c>
    </row>
    <row r="483" spans="1:11" x14ac:dyDescent="0.35">
      <c r="A483" s="8" t="str">
        <f>Clean_Data!A483</f>
        <v/>
      </c>
      <c r="B483" s="16" t="str">
        <f>IF(A483="","",IF(Clean_Data!C483="","FAIL","PASS"))</f>
        <v/>
      </c>
      <c r="C483" s="16" t="str">
        <f>IF(A483="","",IF(AND(Clean_Data!C483&lt;&gt;"",Clean_Data!J483="NO"),"FAIL","PASS"))</f>
        <v/>
      </c>
      <c r="D483" s="16" t="str">
        <f>IF(A483="","",IF(Clean_Data!E483="","FAIL","PASS"))</f>
        <v/>
      </c>
      <c r="E483" s="16" t="str">
        <f>IF(A483="","",IF(Clean_Data!G483="","FAIL","PASS"))</f>
        <v/>
      </c>
      <c r="F483" s="16" t="str">
        <f>IF(A483="","",IF(Clean_Data!G483="","OK",IF(Clean_Data!G483&gt;16,"FLAG","OK")))</f>
        <v/>
      </c>
      <c r="G483" s="16" t="str">
        <f>IF(A483="","",IF(Clean_Data!H483="","FAIL","PASS"))</f>
        <v/>
      </c>
      <c r="H483" s="16" t="str">
        <f>IF(A483="","",IF(OR(Clean_Data!D483="",Clean_Data!K483="NO"),"FAIL","PASS"))</f>
        <v/>
      </c>
      <c r="I483" s="16" t="str">
        <f t="shared" si="21"/>
        <v/>
      </c>
      <c r="J483" s="17" t="str">
        <f t="shared" si="22"/>
        <v/>
      </c>
      <c r="K483" s="16" t="str">
        <f t="shared" si="23"/>
        <v/>
      </c>
    </row>
    <row r="484" spans="1:11" x14ac:dyDescent="0.35">
      <c r="A484" s="8" t="str">
        <f>Clean_Data!A484</f>
        <v/>
      </c>
      <c r="B484" s="16" t="str">
        <f>IF(A484="","",IF(Clean_Data!C484="","FAIL","PASS"))</f>
        <v/>
      </c>
      <c r="C484" s="16" t="str">
        <f>IF(A484="","",IF(AND(Clean_Data!C484&lt;&gt;"",Clean_Data!J484="NO"),"FAIL","PASS"))</f>
        <v/>
      </c>
      <c r="D484" s="16" t="str">
        <f>IF(A484="","",IF(Clean_Data!E484="","FAIL","PASS"))</f>
        <v/>
      </c>
      <c r="E484" s="16" t="str">
        <f>IF(A484="","",IF(Clean_Data!G484="","FAIL","PASS"))</f>
        <v/>
      </c>
      <c r="F484" s="16" t="str">
        <f>IF(A484="","",IF(Clean_Data!G484="","OK",IF(Clean_Data!G484&gt;16,"FLAG","OK")))</f>
        <v/>
      </c>
      <c r="G484" s="16" t="str">
        <f>IF(A484="","",IF(Clean_Data!H484="","FAIL","PASS"))</f>
        <v/>
      </c>
      <c r="H484" s="16" t="str">
        <f>IF(A484="","",IF(OR(Clean_Data!D484="",Clean_Data!K484="NO"),"FAIL","PASS"))</f>
        <v/>
      </c>
      <c r="I484" s="16" t="str">
        <f t="shared" si="21"/>
        <v/>
      </c>
      <c r="J484" s="17" t="str">
        <f t="shared" si="22"/>
        <v/>
      </c>
      <c r="K484" s="16" t="str">
        <f t="shared" si="23"/>
        <v/>
      </c>
    </row>
    <row r="485" spans="1:11" x14ac:dyDescent="0.35">
      <c r="A485" s="8" t="str">
        <f>Clean_Data!A485</f>
        <v/>
      </c>
      <c r="B485" s="16" t="str">
        <f>IF(A485="","",IF(Clean_Data!C485="","FAIL","PASS"))</f>
        <v/>
      </c>
      <c r="C485" s="16" t="str">
        <f>IF(A485="","",IF(AND(Clean_Data!C485&lt;&gt;"",Clean_Data!J485="NO"),"FAIL","PASS"))</f>
        <v/>
      </c>
      <c r="D485" s="16" t="str">
        <f>IF(A485="","",IF(Clean_Data!E485="","FAIL","PASS"))</f>
        <v/>
      </c>
      <c r="E485" s="16" t="str">
        <f>IF(A485="","",IF(Clean_Data!G485="","FAIL","PASS"))</f>
        <v/>
      </c>
      <c r="F485" s="16" t="str">
        <f>IF(A485="","",IF(Clean_Data!G485="","OK",IF(Clean_Data!G485&gt;16,"FLAG","OK")))</f>
        <v/>
      </c>
      <c r="G485" s="16" t="str">
        <f>IF(A485="","",IF(Clean_Data!H485="","FAIL","PASS"))</f>
        <v/>
      </c>
      <c r="H485" s="16" t="str">
        <f>IF(A485="","",IF(OR(Clean_Data!D485="",Clean_Data!K485="NO"),"FAIL","PASS"))</f>
        <v/>
      </c>
      <c r="I485" s="16" t="str">
        <f t="shared" si="21"/>
        <v/>
      </c>
      <c r="J485" s="17" t="str">
        <f t="shared" si="22"/>
        <v/>
      </c>
      <c r="K485" s="16" t="str">
        <f t="shared" si="23"/>
        <v/>
      </c>
    </row>
    <row r="486" spans="1:11" x14ac:dyDescent="0.35">
      <c r="A486" s="8" t="str">
        <f>Clean_Data!A486</f>
        <v/>
      </c>
      <c r="B486" s="16" t="str">
        <f>IF(A486="","",IF(Clean_Data!C486="","FAIL","PASS"))</f>
        <v/>
      </c>
      <c r="C486" s="16" t="str">
        <f>IF(A486="","",IF(AND(Clean_Data!C486&lt;&gt;"",Clean_Data!J486="NO"),"FAIL","PASS"))</f>
        <v/>
      </c>
      <c r="D486" s="16" t="str">
        <f>IF(A486="","",IF(Clean_Data!E486="","FAIL","PASS"))</f>
        <v/>
      </c>
      <c r="E486" s="16" t="str">
        <f>IF(A486="","",IF(Clean_Data!G486="","FAIL","PASS"))</f>
        <v/>
      </c>
      <c r="F486" s="16" t="str">
        <f>IF(A486="","",IF(Clean_Data!G486="","OK",IF(Clean_Data!G486&gt;16,"FLAG","OK")))</f>
        <v/>
      </c>
      <c r="G486" s="16" t="str">
        <f>IF(A486="","",IF(Clean_Data!H486="","FAIL","PASS"))</f>
        <v/>
      </c>
      <c r="H486" s="16" t="str">
        <f>IF(A486="","",IF(OR(Clean_Data!D486="",Clean_Data!K486="NO"),"FAIL","PASS"))</f>
        <v/>
      </c>
      <c r="I486" s="16" t="str">
        <f t="shared" si="21"/>
        <v/>
      </c>
      <c r="J486" s="17" t="str">
        <f t="shared" si="22"/>
        <v/>
      </c>
      <c r="K486" s="16" t="str">
        <f t="shared" si="23"/>
        <v/>
      </c>
    </row>
    <row r="487" spans="1:11" x14ac:dyDescent="0.35">
      <c r="A487" s="8" t="str">
        <f>Clean_Data!A487</f>
        <v/>
      </c>
      <c r="B487" s="16" t="str">
        <f>IF(A487="","",IF(Clean_Data!C487="","FAIL","PASS"))</f>
        <v/>
      </c>
      <c r="C487" s="16" t="str">
        <f>IF(A487="","",IF(AND(Clean_Data!C487&lt;&gt;"",Clean_Data!J487="NO"),"FAIL","PASS"))</f>
        <v/>
      </c>
      <c r="D487" s="16" t="str">
        <f>IF(A487="","",IF(Clean_Data!E487="","FAIL","PASS"))</f>
        <v/>
      </c>
      <c r="E487" s="16" t="str">
        <f>IF(A487="","",IF(Clean_Data!G487="","FAIL","PASS"))</f>
        <v/>
      </c>
      <c r="F487" s="16" t="str">
        <f>IF(A487="","",IF(Clean_Data!G487="","OK",IF(Clean_Data!G487&gt;16,"FLAG","OK")))</f>
        <v/>
      </c>
      <c r="G487" s="16" t="str">
        <f>IF(A487="","",IF(Clean_Data!H487="","FAIL","PASS"))</f>
        <v/>
      </c>
      <c r="H487" s="16" t="str">
        <f>IF(A487="","",IF(OR(Clean_Data!D487="",Clean_Data!K487="NO"),"FAIL","PASS"))</f>
        <v/>
      </c>
      <c r="I487" s="16" t="str">
        <f t="shared" si="21"/>
        <v/>
      </c>
      <c r="J487" s="17" t="str">
        <f t="shared" si="22"/>
        <v/>
      </c>
      <c r="K487" s="16" t="str">
        <f t="shared" si="23"/>
        <v/>
      </c>
    </row>
    <row r="488" spans="1:11" x14ac:dyDescent="0.35">
      <c r="A488" s="8" t="str">
        <f>Clean_Data!A488</f>
        <v/>
      </c>
      <c r="B488" s="16" t="str">
        <f>IF(A488="","",IF(Clean_Data!C488="","FAIL","PASS"))</f>
        <v/>
      </c>
      <c r="C488" s="16" t="str">
        <f>IF(A488="","",IF(AND(Clean_Data!C488&lt;&gt;"",Clean_Data!J488="NO"),"FAIL","PASS"))</f>
        <v/>
      </c>
      <c r="D488" s="16" t="str">
        <f>IF(A488="","",IF(Clean_Data!E488="","FAIL","PASS"))</f>
        <v/>
      </c>
      <c r="E488" s="16" t="str">
        <f>IF(A488="","",IF(Clean_Data!G488="","FAIL","PASS"))</f>
        <v/>
      </c>
      <c r="F488" s="16" t="str">
        <f>IF(A488="","",IF(Clean_Data!G488="","OK",IF(Clean_Data!G488&gt;16,"FLAG","OK")))</f>
        <v/>
      </c>
      <c r="G488" s="16" t="str">
        <f>IF(A488="","",IF(Clean_Data!H488="","FAIL","PASS"))</f>
        <v/>
      </c>
      <c r="H488" s="16" t="str">
        <f>IF(A488="","",IF(OR(Clean_Data!D488="",Clean_Data!K488="NO"),"FAIL","PASS"))</f>
        <v/>
      </c>
      <c r="I488" s="16" t="str">
        <f t="shared" si="21"/>
        <v/>
      </c>
      <c r="J488" s="17" t="str">
        <f t="shared" si="22"/>
        <v/>
      </c>
      <c r="K488" s="16" t="str">
        <f t="shared" si="23"/>
        <v/>
      </c>
    </row>
    <row r="489" spans="1:11" x14ac:dyDescent="0.35">
      <c r="A489" s="8" t="str">
        <f>Clean_Data!A489</f>
        <v/>
      </c>
      <c r="B489" s="16" t="str">
        <f>IF(A489="","",IF(Clean_Data!C489="","FAIL","PASS"))</f>
        <v/>
      </c>
      <c r="C489" s="16" t="str">
        <f>IF(A489="","",IF(AND(Clean_Data!C489&lt;&gt;"",Clean_Data!J489="NO"),"FAIL","PASS"))</f>
        <v/>
      </c>
      <c r="D489" s="16" t="str">
        <f>IF(A489="","",IF(Clean_Data!E489="","FAIL","PASS"))</f>
        <v/>
      </c>
      <c r="E489" s="16" t="str">
        <f>IF(A489="","",IF(Clean_Data!G489="","FAIL","PASS"))</f>
        <v/>
      </c>
      <c r="F489" s="16" t="str">
        <f>IF(A489="","",IF(Clean_Data!G489="","OK",IF(Clean_Data!G489&gt;16,"FLAG","OK")))</f>
        <v/>
      </c>
      <c r="G489" s="16" t="str">
        <f>IF(A489="","",IF(Clean_Data!H489="","FAIL","PASS"))</f>
        <v/>
      </c>
      <c r="H489" s="16" t="str">
        <f>IF(A489="","",IF(OR(Clean_Data!D489="",Clean_Data!K489="NO"),"FAIL","PASS"))</f>
        <v/>
      </c>
      <c r="I489" s="16" t="str">
        <f t="shared" si="21"/>
        <v/>
      </c>
      <c r="J489" s="17" t="str">
        <f t="shared" si="22"/>
        <v/>
      </c>
      <c r="K489" s="16" t="str">
        <f t="shared" si="23"/>
        <v/>
      </c>
    </row>
    <row r="490" spans="1:11" x14ac:dyDescent="0.35">
      <c r="A490" s="8" t="str">
        <f>Clean_Data!A490</f>
        <v/>
      </c>
      <c r="B490" s="16" t="str">
        <f>IF(A490="","",IF(Clean_Data!C490="","FAIL","PASS"))</f>
        <v/>
      </c>
      <c r="C490" s="16" t="str">
        <f>IF(A490="","",IF(AND(Clean_Data!C490&lt;&gt;"",Clean_Data!J490="NO"),"FAIL","PASS"))</f>
        <v/>
      </c>
      <c r="D490" s="16" t="str">
        <f>IF(A490="","",IF(Clean_Data!E490="","FAIL","PASS"))</f>
        <v/>
      </c>
      <c r="E490" s="16" t="str">
        <f>IF(A490="","",IF(Clean_Data!G490="","FAIL","PASS"))</f>
        <v/>
      </c>
      <c r="F490" s="16" t="str">
        <f>IF(A490="","",IF(Clean_Data!G490="","OK",IF(Clean_Data!G490&gt;16,"FLAG","OK")))</f>
        <v/>
      </c>
      <c r="G490" s="16" t="str">
        <f>IF(A490="","",IF(Clean_Data!H490="","FAIL","PASS"))</f>
        <v/>
      </c>
      <c r="H490" s="16" t="str">
        <f>IF(A490="","",IF(OR(Clean_Data!D490="",Clean_Data!K490="NO"),"FAIL","PASS"))</f>
        <v/>
      </c>
      <c r="I490" s="16" t="str">
        <f t="shared" si="21"/>
        <v/>
      </c>
      <c r="J490" s="17" t="str">
        <f t="shared" si="22"/>
        <v/>
      </c>
      <c r="K490" s="16" t="str">
        <f t="shared" si="23"/>
        <v/>
      </c>
    </row>
    <row r="491" spans="1:11" x14ac:dyDescent="0.35">
      <c r="A491" s="8" t="str">
        <f>Clean_Data!A491</f>
        <v/>
      </c>
      <c r="B491" s="16" t="str">
        <f>IF(A491="","",IF(Clean_Data!C491="","FAIL","PASS"))</f>
        <v/>
      </c>
      <c r="C491" s="16" t="str">
        <f>IF(A491="","",IF(AND(Clean_Data!C491&lt;&gt;"",Clean_Data!J491="NO"),"FAIL","PASS"))</f>
        <v/>
      </c>
      <c r="D491" s="16" t="str">
        <f>IF(A491="","",IF(Clean_Data!E491="","FAIL","PASS"))</f>
        <v/>
      </c>
      <c r="E491" s="16" t="str">
        <f>IF(A491="","",IF(Clean_Data!G491="","FAIL","PASS"))</f>
        <v/>
      </c>
      <c r="F491" s="16" t="str">
        <f>IF(A491="","",IF(Clean_Data!G491="","OK",IF(Clean_Data!G491&gt;16,"FLAG","OK")))</f>
        <v/>
      </c>
      <c r="G491" s="16" t="str">
        <f>IF(A491="","",IF(Clean_Data!H491="","FAIL","PASS"))</f>
        <v/>
      </c>
      <c r="H491" s="16" t="str">
        <f>IF(A491="","",IF(OR(Clean_Data!D491="",Clean_Data!K491="NO"),"FAIL","PASS"))</f>
        <v/>
      </c>
      <c r="I491" s="16" t="str">
        <f t="shared" si="21"/>
        <v/>
      </c>
      <c r="J491" s="17" t="str">
        <f t="shared" si="22"/>
        <v/>
      </c>
      <c r="K491" s="16" t="str">
        <f t="shared" si="23"/>
        <v/>
      </c>
    </row>
    <row r="492" spans="1:11" x14ac:dyDescent="0.35">
      <c r="A492" s="8" t="str">
        <f>Clean_Data!A492</f>
        <v/>
      </c>
      <c r="B492" s="16" t="str">
        <f>IF(A492="","",IF(Clean_Data!C492="","FAIL","PASS"))</f>
        <v/>
      </c>
      <c r="C492" s="16" t="str">
        <f>IF(A492="","",IF(AND(Clean_Data!C492&lt;&gt;"",Clean_Data!J492="NO"),"FAIL","PASS"))</f>
        <v/>
      </c>
      <c r="D492" s="16" t="str">
        <f>IF(A492="","",IF(Clean_Data!E492="","FAIL","PASS"))</f>
        <v/>
      </c>
      <c r="E492" s="16" t="str">
        <f>IF(A492="","",IF(Clean_Data!G492="","FAIL","PASS"))</f>
        <v/>
      </c>
      <c r="F492" s="16" t="str">
        <f>IF(A492="","",IF(Clean_Data!G492="","OK",IF(Clean_Data!G492&gt;16,"FLAG","OK")))</f>
        <v/>
      </c>
      <c r="G492" s="16" t="str">
        <f>IF(A492="","",IF(Clean_Data!H492="","FAIL","PASS"))</f>
        <v/>
      </c>
      <c r="H492" s="16" t="str">
        <f>IF(A492="","",IF(OR(Clean_Data!D492="",Clean_Data!K492="NO"),"FAIL","PASS"))</f>
        <v/>
      </c>
      <c r="I492" s="16" t="str">
        <f t="shared" si="21"/>
        <v/>
      </c>
      <c r="J492" s="17" t="str">
        <f t="shared" si="22"/>
        <v/>
      </c>
      <c r="K492" s="16" t="str">
        <f t="shared" si="23"/>
        <v/>
      </c>
    </row>
    <row r="493" spans="1:11" x14ac:dyDescent="0.35">
      <c r="A493" s="8" t="str">
        <f>Clean_Data!A493</f>
        <v/>
      </c>
      <c r="B493" s="16" t="str">
        <f>IF(A493="","",IF(Clean_Data!C493="","FAIL","PASS"))</f>
        <v/>
      </c>
      <c r="C493" s="16" t="str">
        <f>IF(A493="","",IF(AND(Clean_Data!C493&lt;&gt;"",Clean_Data!J493="NO"),"FAIL","PASS"))</f>
        <v/>
      </c>
      <c r="D493" s="16" t="str">
        <f>IF(A493="","",IF(Clean_Data!E493="","FAIL","PASS"))</f>
        <v/>
      </c>
      <c r="E493" s="16" t="str">
        <f>IF(A493="","",IF(Clean_Data!G493="","FAIL","PASS"))</f>
        <v/>
      </c>
      <c r="F493" s="16" t="str">
        <f>IF(A493="","",IF(Clean_Data!G493="","OK",IF(Clean_Data!G493&gt;16,"FLAG","OK")))</f>
        <v/>
      </c>
      <c r="G493" s="16" t="str">
        <f>IF(A493="","",IF(Clean_Data!H493="","FAIL","PASS"))</f>
        <v/>
      </c>
      <c r="H493" s="16" t="str">
        <f>IF(A493="","",IF(OR(Clean_Data!D493="",Clean_Data!K493="NO"),"FAIL","PASS"))</f>
        <v/>
      </c>
      <c r="I493" s="16" t="str">
        <f t="shared" si="21"/>
        <v/>
      </c>
      <c r="J493" s="17" t="str">
        <f t="shared" si="22"/>
        <v/>
      </c>
      <c r="K493" s="16" t="str">
        <f t="shared" si="23"/>
        <v/>
      </c>
    </row>
    <row r="494" spans="1:11" x14ac:dyDescent="0.35">
      <c r="A494" s="8" t="str">
        <f>Clean_Data!A494</f>
        <v/>
      </c>
      <c r="B494" s="16" t="str">
        <f>IF(A494="","",IF(Clean_Data!C494="","FAIL","PASS"))</f>
        <v/>
      </c>
      <c r="C494" s="16" t="str">
        <f>IF(A494="","",IF(AND(Clean_Data!C494&lt;&gt;"",Clean_Data!J494="NO"),"FAIL","PASS"))</f>
        <v/>
      </c>
      <c r="D494" s="16" t="str">
        <f>IF(A494="","",IF(Clean_Data!E494="","FAIL","PASS"))</f>
        <v/>
      </c>
      <c r="E494" s="16" t="str">
        <f>IF(A494="","",IF(Clean_Data!G494="","FAIL","PASS"))</f>
        <v/>
      </c>
      <c r="F494" s="16" t="str">
        <f>IF(A494="","",IF(Clean_Data!G494="","OK",IF(Clean_Data!G494&gt;16,"FLAG","OK")))</f>
        <v/>
      </c>
      <c r="G494" s="16" t="str">
        <f>IF(A494="","",IF(Clean_Data!H494="","FAIL","PASS"))</f>
        <v/>
      </c>
      <c r="H494" s="16" t="str">
        <f>IF(A494="","",IF(OR(Clean_Data!D494="",Clean_Data!K494="NO"),"FAIL","PASS"))</f>
        <v/>
      </c>
      <c r="I494" s="16" t="str">
        <f t="shared" si="21"/>
        <v/>
      </c>
      <c r="J494" s="17" t="str">
        <f t="shared" si="22"/>
        <v/>
      </c>
      <c r="K494" s="16" t="str">
        <f t="shared" si="23"/>
        <v/>
      </c>
    </row>
    <row r="495" spans="1:11" x14ac:dyDescent="0.35">
      <c r="A495" s="8" t="str">
        <f>Clean_Data!A495</f>
        <v/>
      </c>
      <c r="B495" s="16" t="str">
        <f>IF(A495="","",IF(Clean_Data!C495="","FAIL","PASS"))</f>
        <v/>
      </c>
      <c r="C495" s="16" t="str">
        <f>IF(A495="","",IF(AND(Clean_Data!C495&lt;&gt;"",Clean_Data!J495="NO"),"FAIL","PASS"))</f>
        <v/>
      </c>
      <c r="D495" s="16" t="str">
        <f>IF(A495="","",IF(Clean_Data!E495="","FAIL","PASS"))</f>
        <v/>
      </c>
      <c r="E495" s="16" t="str">
        <f>IF(A495="","",IF(Clean_Data!G495="","FAIL","PASS"))</f>
        <v/>
      </c>
      <c r="F495" s="16" t="str">
        <f>IF(A495="","",IF(Clean_Data!G495="","OK",IF(Clean_Data!G495&gt;16,"FLAG","OK")))</f>
        <v/>
      </c>
      <c r="G495" s="16" t="str">
        <f>IF(A495="","",IF(Clean_Data!H495="","FAIL","PASS"))</f>
        <v/>
      </c>
      <c r="H495" s="16" t="str">
        <f>IF(A495="","",IF(OR(Clean_Data!D495="",Clean_Data!K495="NO"),"FAIL","PASS"))</f>
        <v/>
      </c>
      <c r="I495" s="16" t="str">
        <f t="shared" si="21"/>
        <v/>
      </c>
      <c r="J495" s="17" t="str">
        <f t="shared" si="22"/>
        <v/>
      </c>
      <c r="K495" s="16" t="str">
        <f t="shared" si="23"/>
        <v/>
      </c>
    </row>
    <row r="496" spans="1:11" x14ac:dyDescent="0.35">
      <c r="A496" s="8" t="str">
        <f>Clean_Data!A496</f>
        <v/>
      </c>
      <c r="B496" s="16" t="str">
        <f>IF(A496="","",IF(Clean_Data!C496="","FAIL","PASS"))</f>
        <v/>
      </c>
      <c r="C496" s="16" t="str">
        <f>IF(A496="","",IF(AND(Clean_Data!C496&lt;&gt;"",Clean_Data!J496="NO"),"FAIL","PASS"))</f>
        <v/>
      </c>
      <c r="D496" s="16" t="str">
        <f>IF(A496="","",IF(Clean_Data!E496="","FAIL","PASS"))</f>
        <v/>
      </c>
      <c r="E496" s="16" t="str">
        <f>IF(A496="","",IF(Clean_Data!G496="","FAIL","PASS"))</f>
        <v/>
      </c>
      <c r="F496" s="16" t="str">
        <f>IF(A496="","",IF(Clean_Data!G496="","OK",IF(Clean_Data!G496&gt;16,"FLAG","OK")))</f>
        <v/>
      </c>
      <c r="G496" s="16" t="str">
        <f>IF(A496="","",IF(Clean_Data!H496="","FAIL","PASS"))</f>
        <v/>
      </c>
      <c r="H496" s="16" t="str">
        <f>IF(A496="","",IF(OR(Clean_Data!D496="",Clean_Data!K496="NO"),"FAIL","PASS"))</f>
        <v/>
      </c>
      <c r="I496" s="16" t="str">
        <f t="shared" si="21"/>
        <v/>
      </c>
      <c r="J496" s="17" t="str">
        <f t="shared" si="22"/>
        <v/>
      </c>
      <c r="K496" s="16" t="str">
        <f t="shared" si="23"/>
        <v/>
      </c>
    </row>
    <row r="497" spans="1:11" x14ac:dyDescent="0.35">
      <c r="A497" s="8" t="str">
        <f>Clean_Data!A497</f>
        <v/>
      </c>
      <c r="B497" s="16" t="str">
        <f>IF(A497="","",IF(Clean_Data!C497="","FAIL","PASS"))</f>
        <v/>
      </c>
      <c r="C497" s="16" t="str">
        <f>IF(A497="","",IF(AND(Clean_Data!C497&lt;&gt;"",Clean_Data!J497="NO"),"FAIL","PASS"))</f>
        <v/>
      </c>
      <c r="D497" s="16" t="str">
        <f>IF(A497="","",IF(Clean_Data!E497="","FAIL","PASS"))</f>
        <v/>
      </c>
      <c r="E497" s="16" t="str">
        <f>IF(A497="","",IF(Clean_Data!G497="","FAIL","PASS"))</f>
        <v/>
      </c>
      <c r="F497" s="16" t="str">
        <f>IF(A497="","",IF(Clean_Data!G497="","OK",IF(Clean_Data!G497&gt;16,"FLAG","OK")))</f>
        <v/>
      </c>
      <c r="G497" s="16" t="str">
        <f>IF(A497="","",IF(Clean_Data!H497="","FAIL","PASS"))</f>
        <v/>
      </c>
      <c r="H497" s="16" t="str">
        <f>IF(A497="","",IF(OR(Clean_Data!D497="",Clean_Data!K497="NO"),"FAIL","PASS"))</f>
        <v/>
      </c>
      <c r="I497" s="16" t="str">
        <f t="shared" si="21"/>
        <v/>
      </c>
      <c r="J497" s="17" t="str">
        <f t="shared" si="22"/>
        <v/>
      </c>
      <c r="K497" s="16" t="str">
        <f t="shared" si="23"/>
        <v/>
      </c>
    </row>
    <row r="498" spans="1:11" x14ac:dyDescent="0.35">
      <c r="A498" s="8" t="str">
        <f>Clean_Data!A498</f>
        <v/>
      </c>
      <c r="B498" s="16" t="str">
        <f>IF(A498="","",IF(Clean_Data!C498="","FAIL","PASS"))</f>
        <v/>
      </c>
      <c r="C498" s="16" t="str">
        <f>IF(A498="","",IF(AND(Clean_Data!C498&lt;&gt;"",Clean_Data!J498="NO"),"FAIL","PASS"))</f>
        <v/>
      </c>
      <c r="D498" s="16" t="str">
        <f>IF(A498="","",IF(Clean_Data!E498="","FAIL","PASS"))</f>
        <v/>
      </c>
      <c r="E498" s="16" t="str">
        <f>IF(A498="","",IF(Clean_Data!G498="","FAIL","PASS"))</f>
        <v/>
      </c>
      <c r="F498" s="16" t="str">
        <f>IF(A498="","",IF(Clean_Data!G498="","OK",IF(Clean_Data!G498&gt;16,"FLAG","OK")))</f>
        <v/>
      </c>
      <c r="G498" s="16" t="str">
        <f>IF(A498="","",IF(Clean_Data!H498="","FAIL","PASS"))</f>
        <v/>
      </c>
      <c r="H498" s="16" t="str">
        <f>IF(A498="","",IF(OR(Clean_Data!D498="",Clean_Data!K498="NO"),"FAIL","PASS"))</f>
        <v/>
      </c>
      <c r="I498" s="16" t="str">
        <f t="shared" si="21"/>
        <v/>
      </c>
      <c r="J498" s="17" t="str">
        <f t="shared" si="22"/>
        <v/>
      </c>
      <c r="K498" s="16" t="str">
        <f t="shared" si="23"/>
        <v/>
      </c>
    </row>
    <row r="499" spans="1:11" x14ac:dyDescent="0.35">
      <c r="A499" s="8" t="str">
        <f>Clean_Data!A499</f>
        <v/>
      </c>
      <c r="B499" s="16" t="str">
        <f>IF(A499="","",IF(Clean_Data!C499="","FAIL","PASS"))</f>
        <v/>
      </c>
      <c r="C499" s="16" t="str">
        <f>IF(A499="","",IF(AND(Clean_Data!C499&lt;&gt;"",Clean_Data!J499="NO"),"FAIL","PASS"))</f>
        <v/>
      </c>
      <c r="D499" s="16" t="str">
        <f>IF(A499="","",IF(Clean_Data!E499="","FAIL","PASS"))</f>
        <v/>
      </c>
      <c r="E499" s="16" t="str">
        <f>IF(A499="","",IF(Clean_Data!G499="","FAIL","PASS"))</f>
        <v/>
      </c>
      <c r="F499" s="16" t="str">
        <f>IF(A499="","",IF(Clean_Data!G499="","OK",IF(Clean_Data!G499&gt;16,"FLAG","OK")))</f>
        <v/>
      </c>
      <c r="G499" s="16" t="str">
        <f>IF(A499="","",IF(Clean_Data!H499="","FAIL","PASS"))</f>
        <v/>
      </c>
      <c r="H499" s="16" t="str">
        <f>IF(A499="","",IF(OR(Clean_Data!D499="",Clean_Data!K499="NO"),"FAIL","PASS"))</f>
        <v/>
      </c>
      <c r="I499" s="16" t="str">
        <f t="shared" si="21"/>
        <v/>
      </c>
      <c r="J499" s="17" t="str">
        <f t="shared" si="22"/>
        <v/>
      </c>
      <c r="K499" s="16" t="str">
        <f t="shared" si="23"/>
        <v/>
      </c>
    </row>
    <row r="500" spans="1:11" x14ac:dyDescent="0.35">
      <c r="A500" s="8" t="str">
        <f>Clean_Data!A500</f>
        <v/>
      </c>
      <c r="B500" s="16" t="str">
        <f>IF(A500="","",IF(Clean_Data!C500="","FAIL","PASS"))</f>
        <v/>
      </c>
      <c r="C500" s="16" t="str">
        <f>IF(A500="","",IF(AND(Clean_Data!C500&lt;&gt;"",Clean_Data!J500="NO"),"FAIL","PASS"))</f>
        <v/>
      </c>
      <c r="D500" s="16" t="str">
        <f>IF(A500="","",IF(Clean_Data!E500="","FAIL","PASS"))</f>
        <v/>
      </c>
      <c r="E500" s="16" t="str">
        <f>IF(A500="","",IF(Clean_Data!G500="","FAIL","PASS"))</f>
        <v/>
      </c>
      <c r="F500" s="16" t="str">
        <f>IF(A500="","",IF(Clean_Data!G500="","OK",IF(Clean_Data!G500&gt;16,"FLAG","OK")))</f>
        <v/>
      </c>
      <c r="G500" s="16" t="str">
        <f>IF(A500="","",IF(Clean_Data!H500="","FAIL","PASS"))</f>
        <v/>
      </c>
      <c r="H500" s="16" t="str">
        <f>IF(A500="","",IF(OR(Clean_Data!D500="",Clean_Data!K500="NO"),"FAIL","PASS"))</f>
        <v/>
      </c>
      <c r="I500" s="16" t="str">
        <f t="shared" si="21"/>
        <v/>
      </c>
      <c r="J500" s="17" t="str">
        <f t="shared" si="22"/>
        <v/>
      </c>
      <c r="K500" s="16" t="str">
        <f t="shared" si="23"/>
        <v/>
      </c>
    </row>
    <row r="501" spans="1:11" x14ac:dyDescent="0.35">
      <c r="A501" s="8" t="str">
        <f>Clean_Data!A501</f>
        <v/>
      </c>
      <c r="B501" s="16" t="str">
        <f>IF(A501="","",IF(Clean_Data!C501="","FAIL","PASS"))</f>
        <v/>
      </c>
      <c r="C501" s="16" t="str">
        <f>IF(A501="","",IF(AND(Clean_Data!C501&lt;&gt;"",Clean_Data!J501="NO"),"FAIL","PASS"))</f>
        <v/>
      </c>
      <c r="D501" s="16" t="str">
        <f>IF(A501="","",IF(Clean_Data!E501="","FAIL","PASS"))</f>
        <v/>
      </c>
      <c r="E501" s="16" t="str">
        <f>IF(A501="","",IF(Clean_Data!G501="","FAIL","PASS"))</f>
        <v/>
      </c>
      <c r="F501" s="16" t="str">
        <f>IF(A501="","",IF(Clean_Data!G501="","OK",IF(Clean_Data!G501&gt;16,"FLAG","OK")))</f>
        <v/>
      </c>
      <c r="G501" s="16" t="str">
        <f>IF(A501="","",IF(Clean_Data!H501="","FAIL","PASS"))</f>
        <v/>
      </c>
      <c r="H501" s="16" t="str">
        <f>IF(A501="","",IF(OR(Clean_Data!D501="",Clean_Data!K501="NO"),"FAIL","PASS"))</f>
        <v/>
      </c>
      <c r="I501" s="16" t="str">
        <f t="shared" si="21"/>
        <v/>
      </c>
      <c r="J501" s="17" t="str">
        <f t="shared" si="22"/>
        <v/>
      </c>
      <c r="K501" s="16" t="str">
        <f t="shared" si="23"/>
        <v/>
      </c>
    </row>
  </sheetData>
  <mergeCells count="1">
    <mergeCell ref="A1:K1"/>
  </mergeCells>
  <conditionalFormatting sqref="B4:B501">
    <cfRule type="expression" dxfId="16" priority="1">
      <formula>$B4="FAIL"</formula>
    </cfRule>
    <cfRule type="expression" dxfId="15" priority="2">
      <formula>$B4="PASS"</formula>
    </cfRule>
  </conditionalFormatting>
  <conditionalFormatting sqref="C4:C501">
    <cfRule type="expression" dxfId="14" priority="3">
      <formula>$C4="FAIL"</formula>
    </cfRule>
    <cfRule type="expression" dxfId="13" priority="4">
      <formula>$C4="PASS"</formula>
    </cfRule>
  </conditionalFormatting>
  <conditionalFormatting sqref="D4:D501">
    <cfRule type="expression" dxfId="12" priority="5">
      <formula>$D4="FAIL"</formula>
    </cfRule>
    <cfRule type="expression" dxfId="11" priority="6">
      <formula>$D4="PASS"</formula>
    </cfRule>
  </conditionalFormatting>
  <conditionalFormatting sqref="E4:E501">
    <cfRule type="expression" dxfId="10" priority="7">
      <formula>$E4="FAIL"</formula>
    </cfRule>
    <cfRule type="expression" dxfId="9" priority="8">
      <formula>$E4="PASS"</formula>
    </cfRule>
  </conditionalFormatting>
  <conditionalFormatting sqref="F4:F501">
    <cfRule type="expression" dxfId="8" priority="13">
      <formula>$F4="FLAG"</formula>
    </cfRule>
    <cfRule type="expression" dxfId="7" priority="14">
      <formula>$F4="OK"</formula>
    </cfRule>
  </conditionalFormatting>
  <conditionalFormatting sqref="G4:G501">
    <cfRule type="expression" dxfId="6" priority="9">
      <formula>$G4="FAIL"</formula>
    </cfRule>
    <cfRule type="expression" dxfId="5" priority="10">
      <formula>$G4="PASS"</formula>
    </cfRule>
  </conditionalFormatting>
  <conditionalFormatting sqref="H4:H501">
    <cfRule type="expression" dxfId="4" priority="11">
      <formula>$H4="FAIL"</formula>
    </cfRule>
    <cfRule type="expression" dxfId="3" priority="12">
      <formula>$H4="PASS"</formula>
    </cfRule>
  </conditionalFormatting>
  <conditionalFormatting sqref="I4:I501">
    <cfRule type="expression" dxfId="2" priority="15">
      <formula>$I4="ERROR"</formula>
    </cfRule>
    <cfRule type="expression" dxfId="1" priority="16">
      <formula>$I4="REVIEW"</formula>
    </cfRule>
    <cfRule type="expression" dxfId="0" priority="17">
      <formula>$I4="OK"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showGridLines="0" workbookViewId="0">
      <selection activeCell="M2" sqref="M2"/>
    </sheetView>
  </sheetViews>
  <sheetFormatPr defaultRowHeight="14.5" x14ac:dyDescent="0.35"/>
  <cols>
    <col min="1" max="1" width="18" customWidth="1"/>
    <col min="2" max="2" width="14" customWidth="1"/>
    <col min="3" max="3" width="4" customWidth="1"/>
    <col min="4" max="4" width="18" customWidth="1"/>
    <col min="5" max="5" width="14" customWidth="1"/>
    <col min="6" max="6" width="4" customWidth="1"/>
    <col min="7" max="7" width="18" customWidth="1"/>
    <col min="8" max="8" width="14" customWidth="1"/>
    <col min="9" max="9" width="18" customWidth="1"/>
    <col min="10" max="10" width="16" customWidth="1"/>
  </cols>
  <sheetData>
    <row r="1" spans="1:10" ht="21" x14ac:dyDescent="0.35">
      <c r="A1" s="35" t="s">
        <v>102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x14ac:dyDescent="0.35">
      <c r="A3" s="18" t="s">
        <v>103</v>
      </c>
      <c r="B3" s="19"/>
      <c r="C3" s="20" t="s">
        <v>104</v>
      </c>
      <c r="D3" s="21"/>
      <c r="E3" s="22" t="s">
        <v>105</v>
      </c>
      <c r="F3" s="23"/>
      <c r="G3" s="24" t="s">
        <v>106</v>
      </c>
      <c r="H3" s="25"/>
      <c r="I3" s="26" t="s">
        <v>107</v>
      </c>
      <c r="J3" s="15"/>
    </row>
    <row r="4" spans="1:10" ht="18.5" x14ac:dyDescent="0.45">
      <c r="A4" s="19"/>
      <c r="B4" s="27">
        <f>COUNTA(Form_Raw_Data!A4:A501)</f>
        <v>10</v>
      </c>
      <c r="C4" s="21"/>
      <c r="D4" s="28">
        <f>COUNTIF(Validation_Checks!I4:I501,"ERROR")</f>
        <v>7</v>
      </c>
      <c r="E4" s="23"/>
      <c r="F4" s="29">
        <f>COUNTIF(Validation_Checks!I4:I501,"REVIEW")</f>
        <v>0</v>
      </c>
      <c r="G4" s="25"/>
      <c r="H4" s="30">
        <f>IF(B4=0,0,1-((D4+F4)/B4))</f>
        <v>0.30000000000000004</v>
      </c>
      <c r="I4" s="15"/>
      <c r="J4" s="31">
        <f>SUM(Validation_Checks!J4:J501)</f>
        <v>2300</v>
      </c>
    </row>
    <row r="5" spans="1:10" x14ac:dyDescent="0.35">
      <c r="A5" s="19"/>
      <c r="B5" s="19"/>
      <c r="C5" s="21"/>
      <c r="D5" s="21"/>
      <c r="E5" s="23"/>
      <c r="F5" s="23"/>
      <c r="G5" s="25"/>
      <c r="H5" s="25"/>
      <c r="I5" s="15"/>
      <c r="J5" s="15"/>
    </row>
    <row r="8" spans="1:10" x14ac:dyDescent="0.35">
      <c r="A8" s="3" t="s">
        <v>108</v>
      </c>
      <c r="B8" s="3" t="s">
        <v>109</v>
      </c>
    </row>
    <row r="9" spans="1:10" x14ac:dyDescent="0.35">
      <c r="A9" t="s">
        <v>110</v>
      </c>
      <c r="B9">
        <f>COUNTIF(Validation_Checks!B4:B501,"FAIL")</f>
        <v>1</v>
      </c>
    </row>
    <row r="10" spans="1:10" x14ac:dyDescent="0.35">
      <c r="A10" t="s">
        <v>111</v>
      </c>
      <c r="B10">
        <f>COUNTIF(Validation_Checks!C4:C501,"FAIL")</f>
        <v>1</v>
      </c>
    </row>
    <row r="11" spans="1:10" x14ac:dyDescent="0.35">
      <c r="A11" t="s">
        <v>112</v>
      </c>
      <c r="B11">
        <f>COUNTIF(Validation_Checks!D4:D501,"FAIL")</f>
        <v>1</v>
      </c>
    </row>
    <row r="12" spans="1:10" x14ac:dyDescent="0.35">
      <c r="A12" t="s">
        <v>113</v>
      </c>
      <c r="B12">
        <f>COUNTIF(Validation_Checks!E4:E501,"FAIL")</f>
        <v>3</v>
      </c>
    </row>
    <row r="13" spans="1:10" x14ac:dyDescent="0.35">
      <c r="A13" t="s">
        <v>114</v>
      </c>
      <c r="B13">
        <f>COUNTIF(Validation_Checks!F4:F501,"FLAG")</f>
        <v>0</v>
      </c>
    </row>
    <row r="14" spans="1:10" x14ac:dyDescent="0.35">
      <c r="A14" t="s">
        <v>115</v>
      </c>
      <c r="B14">
        <f>COUNTIF(Validation_Checks!G4:G501,"FAIL")</f>
        <v>0</v>
      </c>
    </row>
    <row r="15" spans="1:10" x14ac:dyDescent="0.35">
      <c r="A15" t="s">
        <v>116</v>
      </c>
      <c r="B15">
        <f>COUNTIF(Validation_Checks!H4:H501,"FAIL")</f>
        <v>1</v>
      </c>
    </row>
    <row r="18" spans="1:8" x14ac:dyDescent="0.35">
      <c r="A18" s="3" t="s">
        <v>19</v>
      </c>
      <c r="B18" s="3" t="s">
        <v>107</v>
      </c>
      <c r="D18" s="3" t="s">
        <v>117</v>
      </c>
      <c r="E18" s="3" t="s">
        <v>107</v>
      </c>
      <c r="G18" s="3" t="s">
        <v>118</v>
      </c>
      <c r="H18" s="3" t="s">
        <v>109</v>
      </c>
    </row>
    <row r="19" spans="1:8" x14ac:dyDescent="0.35">
      <c r="A19" t="str">
        <f>Lists!G4</f>
        <v>Zone A</v>
      </c>
      <c r="B19" s="32">
        <f>IF(A19="","",SUMIFS(Validation_Checks!$J$4:$J$501,Clean_Data!$H$4:$H$501,A19))</f>
        <v>300</v>
      </c>
      <c r="D19" t="str">
        <f>Lists!I4</f>
        <v>ADAMS</v>
      </c>
      <c r="E19" s="32">
        <f>IF(D19="","",SUMIFS(Validation_Checks!$J$4:$J$501,Clean_Data!$D$4:$D$501,D19))</f>
        <v>1350</v>
      </c>
      <c r="G19" t="str">
        <f t="shared" ref="G19:H25" si="0">A9</f>
        <v>Missing Name</v>
      </c>
      <c r="H19">
        <f t="shared" si="0"/>
        <v>1</v>
      </c>
    </row>
    <row r="20" spans="1:8" x14ac:dyDescent="0.35">
      <c r="A20" t="str">
        <f>Lists!G5</f>
        <v>Zone B</v>
      </c>
      <c r="B20" s="32">
        <f>IF(A20="","",SUMIFS(Validation_Checks!$J$4:$J$501,Clean_Data!$H$4:$H$501,A20))</f>
        <v>1050</v>
      </c>
      <c r="D20" t="str">
        <f>Lists!I5</f>
        <v>RIVERA</v>
      </c>
      <c r="E20" s="32">
        <f>IF(D20="","",SUMIFS(Validation_Checks!$J$4:$J$501,Clean_Data!$D$4:$D$501,D20))</f>
        <v>400</v>
      </c>
      <c r="G20" t="str">
        <f t="shared" si="0"/>
        <v>Unknown Lineman</v>
      </c>
      <c r="H20">
        <f t="shared" si="0"/>
        <v>1</v>
      </c>
    </row>
    <row r="21" spans="1:8" x14ac:dyDescent="0.35">
      <c r="A21" t="str">
        <f>Lists!G6</f>
        <v>Zone C</v>
      </c>
      <c r="B21" s="32">
        <f>IF(A21="","",SUMIFS(Validation_Checks!$J$4:$J$501,Clean_Data!$H$4:$H$501,A21))</f>
        <v>750</v>
      </c>
      <c r="D21" t="str">
        <f>Lists!I6</f>
        <v>BLAKE</v>
      </c>
      <c r="E21" s="32">
        <f>IF(D21="","",SUMIFS(Validation_Checks!$J$4:$J$501,Clean_Data!$D$4:$D$501,D21))</f>
        <v>350</v>
      </c>
      <c r="G21" t="str">
        <f t="shared" si="0"/>
        <v>Missing Job</v>
      </c>
      <c r="H21">
        <f t="shared" si="0"/>
        <v>1</v>
      </c>
    </row>
    <row r="22" spans="1:8" x14ac:dyDescent="0.35">
      <c r="A22" t="str">
        <f>Lists!G7</f>
        <v>Zone D</v>
      </c>
      <c r="B22" s="32">
        <f>IF(A22="","",SUMIFS(Validation_Checks!$J$4:$J$501,Clean_Data!$H$4:$H$501,A22))</f>
        <v>200</v>
      </c>
      <c r="D22" t="str">
        <f>Lists!I7</f>
        <v>NGUYEN</v>
      </c>
      <c r="E22" s="32">
        <f>IF(D22="","",SUMIFS(Validation_Checks!$J$4:$J$501,Clean_Data!$D$4:$D$501,D22))</f>
        <v>0</v>
      </c>
      <c r="G22" t="str">
        <f t="shared" si="0"/>
        <v>Invalid Hours</v>
      </c>
      <c r="H22">
        <f t="shared" si="0"/>
        <v>3</v>
      </c>
    </row>
    <row r="23" spans="1:8" x14ac:dyDescent="0.35">
      <c r="A23" t="str">
        <f>Lists!G8</f>
        <v>Underground</v>
      </c>
      <c r="B23" s="32">
        <f>IF(A23="","",SUMIFS(Validation_Checks!$J$4:$J$501,Clean_Data!$H$4:$H$501,A23))</f>
        <v>0</v>
      </c>
      <c r="G23" t="str">
        <f t="shared" si="0"/>
        <v>Outlier Hours</v>
      </c>
      <c r="H23">
        <f t="shared" si="0"/>
        <v>0</v>
      </c>
    </row>
    <row r="24" spans="1:8" x14ac:dyDescent="0.35">
      <c r="A24" t="str">
        <f>Lists!G9</f>
        <v>Overhead</v>
      </c>
      <c r="B24" s="32">
        <f>IF(A24="","",SUMIFS(Validation_Checks!$J$4:$J$501,Clean_Data!$H$4:$H$501,A24))</f>
        <v>0</v>
      </c>
      <c r="G24" t="str">
        <f t="shared" si="0"/>
        <v>Missing Area</v>
      </c>
      <c r="H24">
        <f t="shared" si="0"/>
        <v>0</v>
      </c>
    </row>
    <row r="25" spans="1:8" x14ac:dyDescent="0.35">
      <c r="G25" t="str">
        <f t="shared" si="0"/>
        <v>Missing Foreman</v>
      </c>
      <c r="H25">
        <f t="shared" si="0"/>
        <v>1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Read_Me</vt:lpstr>
      <vt:lpstr>Lists</vt:lpstr>
      <vt:lpstr>Ticket_Input_Form</vt:lpstr>
      <vt:lpstr>Form_Raw_Data</vt:lpstr>
      <vt:lpstr>Clean_Data</vt:lpstr>
      <vt:lpstr>Validation_Checks</vt:lpstr>
      <vt:lpstr>Dashboard</vt:lpstr>
      <vt:lpstr>AreaList</vt:lpstr>
      <vt:lpstr>ForemanList</vt:lpstr>
      <vt:lpstr>JobTypeList</vt:lpstr>
      <vt:lpstr>LinemanList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 Ely</dc:creator>
  <cp:lastModifiedBy>Shani Ely</cp:lastModifiedBy>
  <dcterms:created xsi:type="dcterms:W3CDTF">2026-03-26T19:04:57Z</dcterms:created>
  <dcterms:modified xsi:type="dcterms:W3CDTF">2026-03-26T19:07:28Z</dcterms:modified>
</cp:coreProperties>
</file>